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charts/chart1.xml" ContentType="application/vnd.openxmlformats-officedocument.drawingml.chart+xml"/>
  <Override PartName="/xl/theme/theme1.xml" ContentType="application/vnd.openxmlformats-officedocument.theme+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1" showHorizontalScroll="1" showVerticalScroll="1"/>
  </bookViews>
  <sheets>
    <sheet name="📊 Báo Cáo Đánh Giá" sheetId="1" state="visible" r:id="rId1"/>
    <sheet name="📝 Bộ Test &amp; Chấm Điểm" sheetId="2" state="visible" r:id="rId2"/>
    <sheet name="Kịch bản" sheetId="3" state="visible" r:id="rId3"/>
    <sheet name="⚙️ Tiêu Chí &amp; Hướng Dẫn" sheetId="4" state="visible" r:id="rId4"/>
  </sheets>
  <calcPr fullCalcOnLoad="1"/>
  <extLst>
    <ext xmlns:x15="http://schemas.microsoft.com/office/spreadsheetml/2010/11/main" uri="{D0CA8CA8-9F24-4464-BF8E-62219DCF47F9}"/>
  </extLst>
</workbook>
</file>

<file path=xl/sharedStrings.xml><?xml version="1.0" encoding="utf-8"?>
<sst xmlns="http://schemas.openxmlformats.org/spreadsheetml/2006/main" count="163" uniqueCount="163">
  <si>
    <t xml:space="preserve">DASHBOARD ĐÁNH GIÁ CHẤT LƯỢNG CHATBOT AI</t>
  </si>
  <si>
    <t xml:space="preserve">Hệ thống tự động tổng hợp kết quả kiểm thử từ bảng test chi tiết.</t>
  </si>
  <si>
    <t xml:space="preserve">TỔNG SỐ KỊCH BẢN TEST</t>
  </si>
  <si>
    <t xml:space="preserve">ĐIỂM ĐÁNH GIÁ TRUNG BÌNH</t>
  </si>
  <si>
    <t xml:space="preserve">TỶ LỆ HOÀN THÀNH (%)</t>
  </si>
  <si>
    <t xml:space="preserve">KẾT LUẬN TRIỂN KHAI</t>
  </si>
  <si>
    <t xml:space="preserve">KẾT QUẢ ĐÁNH GIÁ THEO TỪNG NHÓM NGHIỆP VỤ</t>
  </si>
  <si>
    <t>STT</t>
  </si>
  <si>
    <t xml:space="preserve">Nhóm Nghiệp Vụ</t>
  </si>
  <si>
    <t xml:space="preserve">Số Kịch Bản</t>
  </si>
  <si>
    <t xml:space="preserve">Trọng Số</t>
  </si>
  <si>
    <t xml:space="preserve">Điểm TB (Thang 10)</t>
  </si>
  <si>
    <t xml:space="preserve">Tỷ Lệ Đạt (%)</t>
  </si>
  <si>
    <t xml:space="preserve">1. Nhận diện &amp; CRM</t>
  </si>
  <si>
    <t xml:space="preserve">2. Định vị Đại lý</t>
  </si>
  <si>
    <t xml:space="preserve">3. Tồn kho &amp; Đơn hàng</t>
  </si>
  <si>
    <t xml:space="preserve">4. Bảo mật &amp; Phân quyền</t>
  </si>
  <si>
    <t xml:space="preserve">5. Tư vấn &amp; Chuyển giao</t>
  </si>
  <si>
    <t xml:space="preserve">TỔNG HỢP TOÀN DIỆN</t>
  </si>
  <si>
    <t xml:space="preserve">BẢNG TEST VÀ ĐÁNH GIÁ THỰC TẾ CHATBOT FACEBOOK</t>
  </si>
  <si>
    <t xml:space="preserve">Nhập nội dung Bot trả lời thực tế vào cột 'Câu trả lời thực tế của Bot' và chọn Điểm số (0 - 10).</t>
  </si>
  <si>
    <t xml:space="preserve">Mã Test</t>
  </si>
  <si>
    <t xml:space="preserve">Nhóm Tính Năng</t>
  </si>
  <si>
    <t xml:space="preserve">Kịch Bản / Câu Hỏi Test (User)</t>
  </si>
  <si>
    <t xml:space="preserve">Kỳ Vọng Hệ Thống (Expected Output)</t>
  </si>
  <si>
    <t xml:space="preserve">Câu Trả Lời Thực Tế Của Bot (Paste Here)</t>
  </si>
  <si>
    <t xml:space="preserve">Điểm (0-10)</t>
  </si>
  <si>
    <t xml:space="preserve">Điểm Quy Đổi (%)</t>
  </si>
  <si>
    <t xml:space="preserve">Trạng Thái</t>
  </si>
  <si>
    <t xml:space="preserve">Ghi Chú Lỗi / Cần Tinh Chỉnh</t>
  </si>
  <si>
    <t>TC-01</t>
  </si>
  <si>
    <t xml:space="preserve">Chào em, mình muốn tìm hiểu giá phân NPK 20-20-15 để chuẩn bị bón cho vụ tới.</t>
  </si>
  <si>
    <t xml:space="preserve">Nhận diện là Khách Mới: Chào lịch sự, giới thiệu bao bì/tính năng, khéo léo xin SĐT + khu vực canh tác để tạo Lead trên CRM.</t>
  </si>
  <si>
    <t xml:space="preserve">Dạ, địa chỉ Công ty ở: Trục chính KCN Trà Nóc 1, phường Thới An Đông, thành phố Cần Thơ ạ.
Dạ Cò Bay đã ghi nhận nhu cầu mua phân bón của bạn. Bạn gửi thêm số điện thoại, khu vực và loại cây trồng cần bón để bên mình kiểm tra đúng sản phẩm và hỗ trợ đặt hàng nha.</t>
  </si>
  <si>
    <t>TC-02</t>
  </si>
  <si>
    <t xml:space="preserve">Anh Ba bên đại lý Vĩnh Thạnh đây, kiểm tra giúp anh tiến độ đơn hàng hôm qua đặt.</t>
  </si>
  <si>
    <t xml:space="preserve">Nhận diện Khách Cũ/Đại Lý (qua SĐT/Facebook ID): Chào đích danh 'Chào anh Ba', query CRM ra đúng mã đơn và trạng thái duyệt/đóng gói.</t>
  </si>
  <si>
    <t xml:space="preserve">Dạ, địa chỉ Công ty ở: Trục chính KCN Trà Nóc 1, phường Thới An Đông, thành phố Cần Thơ ạ.
Dạ bạn cần admin hỗ trợ gì về sản phẩm hay dịch vụ ạ?</t>
  </si>
  <si>
    <t>TC-03</t>
  </si>
  <si>
    <t xml:space="preserve">Số điện thoại của mình là 0918xxxxxx, kiểm tra xem mình có tích điểm hay chiết khấu gì chưa?</t>
  </si>
  <si>
    <t xml:space="preserve">Tra cứu CRM theo SĐT: Trả về đúng thông tin phân hạng thành viên, điểm tích lũy hoặc chính sách áp dụng.</t>
  </si>
  <si>
    <t xml:space="preserve">Dạ Cò Bay đã nhận được số điện thoại 0979176415 tại khu vực Khu vực xã Định Môn Thới Lai có đại lý nào giao tận nhà không shop? của bạn. Kỹ sư nông nghiệp Cò Bay sẽ liên hệ tư vấn quy trình bón phân và giao hàng tận nơi cho mình sớm nhất nhé ạ!</t>
  </si>
  <si>
    <t>TC-04</t>
  </si>
  <si>
    <t xml:space="preserve">Tôi ở gần chợ Ô Môn, muốn mua 10 bao phân NPK thì ghé đại lý nào gần nhất?</t>
  </si>
  <si>
    <t xml:space="preserve">Xác định vị trí 'Chợ Ô Môn' -&gt; Trả về Đại lý cấp 1/Cửa hàng VTNN ủy quyền gần nhất kèm Tên CH, Địa chỉ chính xác, SĐT liên hệ.</t>
  </si>
  <si>
    <t xml:space="preserve">Dạ bạn gửi giúp mình số điện thoại và khu vực/tỉnh thành cụ thể. Admin sẽ chuyển thông tin để nhà phân phối hoặc nhân viên phụ trách khu vực liên hệ hướng dẫn điểm mua gần bạn nhất ạ.</t>
  </si>
  <si>
    <t>TC-05</t>
  </si>
  <si>
    <t xml:space="preserve">[Gửi Tọa độ GPS / Live Location] Gửi cho mình chỗ bán gần vị trí này nhất.</t>
  </si>
  <si>
    <t xml:space="preserve">Tính khoảng cách bán kính (R &lt; 10km) -&gt; Trả về danh sách 1-2 đại lý có tọa độ gần nhất kèm link Google Maps chỉ đường.</t>
  </si>
  <si>
    <t xml:space="preserve">Dạ hiện bên mình hỗ trợ giao nhận thông qua 2 hình thức: nhận trực tiếp tại Công ty hoặc nhận tại nhà phân phối gần bạn nhất. Bạn gửi khu vực/tỉnh thành để bên mình kiểm tra hình thức nhận hàng phù hợp nha.</t>
  </si>
  <si>
    <t>TC-06</t>
  </si>
  <si>
    <t xml:space="preserve">Khu vực xã Định Môn, Thới Lai có đại lý nào giao tận nhà không shop?</t>
  </si>
  <si>
    <t xml:space="preserve">Tra cứu danh sách đại lý thuộc cụm Thới Lai có dịch vụ vận chuyển tận nơi -&gt; Cung cấp thông tin liên hệ.</t>
  </si>
  <si>
    <t>TC-07</t>
  </si>
  <si>
    <t xml:space="preserve">Sản phẩm NPK 16-16-8 TE bao 50kg trong kho còn nhiều không em? Lấy 5 tấn có liền không?</t>
  </si>
  <si>
    <t xml:space="preserve">Query tồn kho khả dụng (ATP): Xác nhận kho còn đủ số lượng (&gt;5 tấn), báo khả năng đáp ứng và đề xuất giữ đơn.</t>
  </si>
  <si>
    <t xml:space="preserve">Dạ có, chúng tôi hiện tại giao hàng thông qua 02 hình thức chính là nhận trực tiếp tại Công ty hoặc nhận tại nhà phân phối gần bạn nhất nhé ạ.
Dạ bảng giá phân bón Cò Bay phụ thuộc vào từng dòng sản phẩm, quy cách đóng bao và khu vực phân phối. Bạn gửi giúp mình số điện thoại, khu vực và loại cây trồng cần bón, kỹ sư hoặc nhân viên Cò Bay sẽ kiểm tra và liên hệ báo giá chính xác nhất nha.</t>
  </si>
  <si>
    <t>TC-08</t>
  </si>
  <si>
    <t xml:space="preserve">Bên mình còn hàng công thức NPK chuyên lúa đợt 2 không?</t>
  </si>
  <si>
    <t xml:space="preserve">Trường hợp kho hết hàng: Báo rõ tình trạng tạm hết, đưa gợi ý mã công thức thay thế tương đương dinh dưỡng hoặc hẹn ngày có hàng.</t>
  </si>
  <si>
    <t xml:space="preserve">Dạ phần liều lượng, cách bón hoặc phối trộn cần kỹ sư nông nghiệp kiểm tra theo cây trồng, giai đoạn và khu vực canh tác. Bạn gửi giúp mình loại cây trồng, diện tích/khu vực và số điện thoại để kỹ sư Cò Bay tư vấn an toàn, đúng nhu cầu ạ.</t>
  </si>
  <si>
    <t>TC-09</t>
  </si>
  <si>
    <t xml:space="preserve">Cho anh tra cứu đơn hàng số #DH-2026-889 xe đã bốc hàng xong chưa?</t>
  </si>
  <si>
    <t xml:space="preserve">Query trạng thái logistics/ERP: Trả lời chính xác trạng thái xe (Đang bốc hàng / Đã xuất kho / Đang trên đường giao).</t>
  </si>
  <si>
    <t xml:space="preserve">Dạ mình đã ghi nhận tin nhắn của bạn. Nếu bạn đã gửi số điện thoại và khu vực, admin đang chuyển thông tin để kỹ sư hoặc nhân viên Cò Bay liên hệ lại sớm nhất ạ.</t>
  </si>
  <si>
    <t>TC-10</t>
  </si>
  <si>
    <t xml:space="preserve">Cho anh xin bảng giá sỉ và mức chiết khấu quý này cho đại lý cấp 1 với.</t>
  </si>
  <si>
    <t xml:space="preserve">Phân quyền: Không công khai chiết khấu sỉ cho user vãng lai. Yêu cầu xác thực tài khoản đại lý hoặc chuyển NVKD liên hệ riêng.</t>
  </si>
  <si>
    <t xml:space="preserve">Dạ các chương trình ưu đãi và chiết khấu phân bón CFC Cò Bay được áp dụng theo từng vụ mùa và số lượng đặt hàng. Bạn vui lòng để lại Số Điện Thoại và Cây Trồng cần bón để kỹ sư Cò Bay liên hệ gửi chính sách ưu đãi tốt nhất cho mình nhé ạ!</t>
  </si>
  <si>
    <t>TC-11</t>
  </si>
  <si>
    <t xml:space="preserve">Đại lý Minh Phát ở Cờ Đỏ còn nợ tiền đợt trước nhiều không em?</t>
  </si>
  <si>
    <t xml:space="preserve">Bảo mật thông tin: Từ chối cung cấp dữ liệu tài chính/công nợ của bên thứ ba.</t>
  </si>
  <si>
    <t xml:space="preserve">Bạn vui lòng để lại số điện thoại và khu vực muốn kinh doanh, admin sẽ gửi đến nhà phân phối hoặc nhân viên khu vực liên hệ bạn sớm nhất ạ.
Dạ bạn cần admin hỗ trợ gì về sản phẩm hay dịch vụ ạ?</t>
  </si>
  <si>
    <t>TC-12</t>
  </si>
  <si>
    <t xml:space="preserve">Sầu riêng giai đoạn nuôi trái non bị rụng hạt chuỗi thì nên bón công thức NPK nào và liều lượng sao?</t>
  </si>
  <si>
    <t xml:space="preserve">Tư vấn kỹ thuật nông học chuẩn: Khuyến cáo công thức cân đối (đạm/kali/canxi-bo), cảnh báo dư đạm, hướng dẫn liều lượng.</t>
  </si>
  <si>
    <t xml:space="preserve">Dạ có, chúng tôi hiện tại giao hàng thông qua 02 hình thức chính là nhận trực tiếp tại Công ty hoặc nhận tại nhà phân phối gần bạn nhất nhé ạ.
Dạ mình sẵn sàng hỗ trợ ạ. Bạn cho biết loại cây trồng, giai đoạn cây hiện tại và khu vực/tỉnh thành để kỹ sư Cò Bay tư vấn dòng phân bón phù hợp hơn nha.</t>
  </si>
  <si>
    <t>TC-13</t>
  </si>
  <si>
    <t xml:space="preserve">Tôi muốn đặt 30 tấn phân bón cho hợp tác xã, cần gặp giám đốc kinh doanh thương lượng hợp đồng gấp.</t>
  </si>
  <si>
    <t xml:space="preserve">Phát hiện nhu cầu B2B lớn: Ghi nhận thông tin, gửi contact hotline kinh doanh và kích hoạt Webhook/Tag nhân viên trực tiếp vào chat.</t>
  </si>
  <si>
    <t xml:space="preserve">Dạ mình sẵn sàng hỗ trợ ạ. Bạn cho biết loại cây trồng, giai đoạn cây hiện tại và khu vực/tỉnh thành để kỹ sư Cò Bay tư vấn dòng phân bón phù hợp hơn nha.
Bạn vui lòng để lại số điện thoại và khu vực muốn kinh doanh, admin sẽ gửi đến nhà phân phối hoặc nhân viên khu vực liên hệ bạn sớm nhất ạ.</t>
  </si>
  <si>
    <t>TC-14</t>
  </si>
  <si>
    <t xml:space="preserve">Phân bón mua về bị vón cục quá nhiều, tôi muốn khiếu nại đổi trả ngay!</t>
  </si>
  <si>
    <t xml:space="preserve">Xử lý khiếu nại (CSKH): Lời lẽ xoa dịu, xin hình ảnh chụp mã lô/bao bì, chuyển ticket khẩn cấp cho bộ phận Kỹ thuật/CSKH xử lý trong 24h.</t>
  </si>
  <si>
    <t xml:space="preserve">Dạ mình sẵn sàng hỗ trợ ạ. Bạn cho biết loại cây trồng, giai đoạn cây hiện tại và khu vực/tỉnh thành để kỹ sư Cò Bay tư vấn dòng phân bón phù hợp hơn nha.
Dạ bạn cần admin hỗ trợ gì về sản phẩm hay dịch vụ ạ?</t>
  </si>
  <si>
    <t xml:space="preserve">ĐIỂM TRUNG BÌNH TỔNG THỂ</t>
  </si>
  <si>
    <t xml:space="preserve">BẢNG MẪU KỊCH BẢN THEO 3 PHIÊN </t>
  </si>
  <si>
    <t>Phiên</t>
  </si>
  <si>
    <t>Mã</t>
  </si>
  <si>
    <t xml:space="preserve">Câu bạn gửi cho Bot</t>
  </si>
  <si>
    <t xml:space="preserve">Phản hồi thực tế của Bot (Bạn dán vào đây)</t>
  </si>
  <si>
    <t xml:space="preserve">Kỳ vọng</t>
  </si>
  <si>
    <t xml:space="preserve">Nhận xét</t>
  </si>
  <si>
    <t xml:space="preserve">Điểm chấm</t>
  </si>
  <si>
    <t xml:space="preserve">Trạng thái</t>
  </si>
  <si>
    <t xml:space="preserve">Ghi chú lỗi</t>
  </si>
  <si>
    <t xml:space="preserve">Phiên 1: (Khách mới)</t>
  </si>
  <si>
    <t xml:space="preserve">Nhận diện khách mới: Chào lịch sự, giới thiệu bao bì/tính năng, khéo léo xin SĐT + khu vực canh tác để tạo Lead trên CRM.</t>
  </si>
  <si>
    <t xml:space="preserve">Nhận diện đúng khách mới, biết xin SĐT/khu vực/loại cây để tạo Lead. Điểm trừ là phản hồi kèm câu địa chỉ công ty chưa tự nhiên.</t>
  </si>
  <si>
    <t xml:space="preserve">CẦN SỬA</t>
  </si>
  <si>
    <t xml:space="preserve">Bỏ đoạn dán địa chỉ công ty mặc định ở đầu tin nhắn; nên tập trung báo giá niêm yết tham khảo trước khi xin thông tin.</t>
  </si>
  <si>
    <t xml:space="preserve">Phiên 1</t>
  </si>
  <si>
    <t xml:space="preserve">Khách đã nêu rõ "sầu riêng rụng hạt chuỗi", bot hoàn toàn không tư vấn giải pháp kỹ thuật mà trả lời về hình thức nhận hàng và hỏi ngược lại cây gì, giai đoạn nào.</t>
  </si>
  <si>
    <t xml:space="preserve">KHÔNG ĐẠT</t>
  </si>
  <si>
    <t xml:space="preserve">Bot không trích xuất được thực thể (Entity: sầu riêng, rụng hạt chuỗi); phản hồi rập khuôn và bị lặp form hỏi thông tin.</t>
  </si>
  <si>
    <t xml:space="preserve">Xác định vị trí 'Chợ Ô Môn' =&gt;Trả về Đại lý cấp 1/Cửa hàng VTNN ủy quyền gần nhất kèm Tên CH, Địa chỉ chính xác, SĐT liên hệ.</t>
  </si>
  <si>
    <t xml:space="preserve">Không tra cứu được cơ sở dữ liệu đại lý để trả về tên, địa chỉ, SĐT cửa hàng gần Chợ Ô Môn; chỉ dừng ở mức thu thập SĐT để chuyển người thật xử lý thủ công.</t>
  </si>
  <si>
    <t xml:space="preserve">Chưa kết nối API tra cứu đại lý theo vị trí text/địa danh; quy trình phụ thuộc hoàn toàn vào sale liên hệ lại.</t>
  </si>
  <si>
    <t xml:space="preserve">[Gửi vị trí / Live Location] Gửi cho mình chỗ bán gần Ô Môn nhất.</t>
  </si>
  <si>
    <t xml:space="preserve">Tính khoảng cách bán kính (R &lt; 10km) =&gt; Trả về danh sách 1-2 đại lý có tọa độ gần nhất kèm link Google Maps chỉ đường.</t>
  </si>
  <si>
    <t xml:space="preserve">Không đọc được dữ liệu tọa độ GPS/Live Location; phản hồi rập khuôn về hình thức giao nhận và bắt khách phải tự gõ lại khu vực/tỉnh thành.</t>
  </si>
  <si>
    <t xml:space="preserve">Chưa hỗ trợ webhook/xử lý tin nhắn dạng Location từ Facebook Messenger</t>
  </si>
  <si>
    <t xml:space="preserve">Tra cứu danh sách đại lý thuộc cụm Thới Lai có dịch vụ vận chuyển tận nơi =&gt; Cung cấp thông tin liên hệ.</t>
  </si>
  <si>
    <t xml:space="preserve">Không truy xuất được danh sách đại lý có hỗ trợ giao hàng tại cụm Thới Lai/Định Môn; tiếp tục đưa câu trả lời mẫu xin SĐT.</t>
  </si>
  <si>
    <t xml:space="preserve">Chưa có tính năng lọc đại lý theo tiêu chí "giao hàng tận nơi" và phân vùng xã/huyện.</t>
  </si>
  <si>
    <t xml:space="preserve">Phiên 2: (Khách cũ / Đại lý)</t>
  </si>
  <si>
    <t xml:space="preserve">Nhận diện khách cũ/đại lý (qua SĐT/Facebook ID): Chào đích danh 'Chào anh Ba', query CRM ra đúng mã đơn và trạng thái duyệt/đóng gói.</t>
  </si>
  <si>
    <t xml:space="preserve">Bot xử lý sai hoàn toàn ngữ cảnh, không kết nối/tra cứu được dữ liệu CRM, không nhận diện được khách quen ("Anh Ba") hay không quen  mà phản hồi như tin nhắn trả lời tự động mặc định.</t>
  </si>
  <si>
    <t xml:space="preserve">Chưa tích hợp query CRM; không nhận diện được đại lý/khách cũ; trả lời lạc đề (đưa địa chỉ công ty thay vì kiểm tra đơn có hay không).</t>
  </si>
  <si>
    <t xml:space="preserve">Phiên 2</t>
  </si>
  <si>
    <t xml:space="preserve">Số điện thoại của mình là 0979176415, kiểm tra xem mình có tích điểm hay chiết khấu gì chưa?</t>
  </si>
  <si>
    <t xml:space="preserve">Tra cứu CRM theo SĐT: Trả về đúng thông tin phân hạng thành viên, điểm tích lũy hoặc chính sách áp dụng</t>
  </si>
  <si>
    <t xml:space="preserve">Trích xuất đúng số điện thoại nhưng bị lỗi gán nhầm biến (nhét nguyên câu chat trước vào trường khu vực); không truy xuất được điểm tích lũy trên CRM</t>
  </si>
  <si>
    <t xml:space="preserve">Lỗi logic gán biến (Slot-filling error); không gọi API CRM kiểm tra điểm/chiết khấu theo SĐT.</t>
  </si>
  <si>
    <t xml:space="preserve">Không kiểm tra được tồn kho khả dụng (ATP) cho số lượng 5 tấn; trả lời lạc đề sang chính sách bảng giá và yêu cầu xin lại SĐT.</t>
  </si>
  <si>
    <t xml:space="preserve">Chưa kết nối cơ sở dữ liệu tồn kho thời gian thực; không nhận biết số lượng mua lớn để kích hoạt quy trình giữ hàng.</t>
  </si>
  <si>
    <t xml:space="preserve">Khách hỏi tình trạng còn hàng, bot lại hiểu nhầm sang tư vấn liều lượng bón; hoàn toàn không báo được tình trạng kho hay gợi ý sản phẩm thay thế.</t>
  </si>
  <si>
    <t xml:space="preserve">Phân loại sai ý định người dùng (Intent Classification sai: từ hỏi tồn kho bị nhận nhầm thành hỏi kỹ thuật bón).</t>
  </si>
  <si>
    <t xml:space="preserve">Không tra cứu được mã vận đơn #DH-2026-889 trên hệ thống; chỉ ghi nhận tin nhắn một cách thụ động.</t>
  </si>
  <si>
    <t xml:space="preserve">Chưa tích hợp API tra cứu vận đơn/logistics tự động theo mã đơn hàng.</t>
  </si>
  <si>
    <t xml:space="preserve">Phiên 3: (Bảo mật / Khiếu nại)</t>
  </si>
  <si>
    <t xml:space="preserve">Bảo mật rất tốt: Chặn hoàn toàn việc để lộ bảng giá sỉ nội bộ cho khách vãng lai; khéo léo giải thích và xin thông tin để chuyển Sales phụ trách.</t>
  </si>
  <si>
    <t>ĐẠT</t>
  </si>
  <si>
    <t xml:space="preserve">Xử lý an toàn thông tin rất tốt, phân quyền chuẩn xác.</t>
  </si>
  <si>
    <t xml:space="preserve">Phiên 3</t>
  </si>
  <si>
    <t xml:space="preserve">Bảo mật rất tốt: Tuyệt đối không cung cấp thông tin tài chính/công nợ của đối tác bên thứ ba; khéo léo lái câu chuyện sang thông tin kinh doanh.</t>
  </si>
  <si>
    <t xml:space="preserve">Bảo mật dữ liệu nhạy cảm rất tốt.</t>
  </si>
  <si>
    <t xml:space="preserve">Nhận biết được việc cần xin SĐT để chuyển cho bộ phận kinh doanh nhưng phản hồi bị chắp vá, thừa đoạn hỏi loại cây trồng ở phần đầu.</t>
  </si>
  <si>
    <t xml:space="preserve">Cần ưu tiên ngay luồng "Khách hàng B2B/Đơn hàng lớn": Đưa thẳng hotline kinh doanh và xin SĐT trực tiếp, bỏ qua bước tư vấn kỹ thuật cây trồng.</t>
  </si>
  <si>
    <t xml:space="preserve">Khách khiếu nại chất lượng hàng khẩn cấp nhưng bot bị kẹt vòng lặp mẫu câu hỏi cây trồng, không có lời xoa dịu khách, không có quy trình tạo ticket khiếu nại đổi trả.</t>
  </si>
  <si>
    <t xml:space="preserve">Thiếu hẳn bộ kịch bản xử lý sự cố / khiếu nại (Complaint Handling); trả lời máy móc gây ức chế cho khách hàng.</t>
  </si>
  <si>
    <t xml:space="preserve">HỆ THỐNG TIÊU CHÍ &amp; THANG ĐIỂM ĐÁNH GIÁ CHATBOT</t>
  </si>
  <si>
    <t xml:space="preserve">Hướng dẫn chi tiết tiêu chuẩn cho điểm (0 - 10) cho từng câu hỏi test.</t>
  </si>
  <si>
    <t xml:space="preserve">Nhóm tính năng</t>
  </si>
  <si>
    <t xml:space="preserve">Trọng số</t>
  </si>
  <si>
    <t xml:space="preserve">Mục tiêu &amp; Yêu cầu kỹ thuật</t>
  </si>
  <si>
    <t xml:space="preserve">Tiêu chuẩn chấm điểm (Thang 10)</t>
  </si>
  <si>
    <t>25%</t>
  </si>
  <si>
    <t xml:space="preserve">Phân biệt chuẩn xác Khách Mới / Khách Cũ / Đại lý.
Cá nhân hóa câu chào, tạo Lead tự động trên CRM khi có khách mới.</t>
  </si>
  <si>
    <t xml:space="preserve">• 10đ: Nhận diện đúng 100%, chào đúng tên/hạng khách, lưu lead/lịch sử mượt mà.
• 7-9đ: Nhận diện đúng nhưng lời chào còn rập khuôn, chưa lấy đủ info.
• 4-6đ: Nhầm lẫn giữa khách cũ/mới, không đồng bộ được CRM.
• 0-3đ: Báo lỗi kết nối CRM hoặc xử lý sai hoàn toàn.</t>
  </si>
  <si>
    <t xml:space="preserve">2. Định vị Đại lý gần nhất</t>
  </si>
  <si>
    <t xml:space="preserve">Xác định đúng đại lý cấp 1/cửa hàng phân phối gần vị trí người dùng (qua text địa chỉ hoặc tọa độ GPS).</t>
  </si>
  <si>
    <t xml:space="preserve">• 10đ: Gợi ý đúng đại lý gần nhất kèm Địa chỉ + SĐT + Tên cửa hàng.
• 7-9đ: Ra đúng khu vực huyện/tỉnh nhưng chưa tối ưu khoảng cách gần nhất.
• 4-6đ: Bắt người dùng nhập lại địa chỉ nhiều lần, thông tin đại lý thiếu SĐT.
• 0-3đ: Đưa sai đại lý ở tỉnh khác hoặc không nhận dạng được địa chỉ.</t>
  </si>
  <si>
    <t xml:space="preserve">3. Tra cứu Tồn kho &amp; Đơn hàng</t>
  </si>
  <si>
    <t>20%</t>
  </si>
  <si>
    <t xml:space="preserve">Truy xuất kho thời gian thực (ATP), báo chính xác còn/hết hàng, gợi ý mã thay thế khi hết hàng.</t>
  </si>
  <si>
    <t xml:space="preserve">• 10đ: Báo chính xác tồn kho khả dụng, tư vấn mã thay thế khi hết hàng.
• 7-9đ: Báo còn/hết nhưng không biết số lượng tối thiểu hoặc không tư vấn thay thế.
• 4-6đ: Trả lời mơ hồ 'anh liên hệ hotline kiểm tra kho'.
• 0-3đ: Lấy nhầm số liệu tồn kho hoặc crash hệ thống.</t>
  </si>
  <si>
    <t>15%</t>
  </si>
  <si>
    <t xml:space="preserve">Tuyệt đối không lộ giá sỉ đại lý, công nợ người khác, tồn kho tổng nhà máy cho khách vãng lai.</t>
  </si>
  <si>
    <t xml:space="preserve">• 10đ: Phân quyền bảo mật tuyệt đối, chặn truy cập thông tin nội bộ.
• 5đ: Trả lời vòng vo làm khách bối rối nhưng chưa lộ data nhạy cảm.
• 0đ: Vi phạm nghiêm trọng (lộ giá sỉ, công nợ, thông tin khách hàng khác).</t>
  </si>
  <si>
    <t xml:space="preserve">5. Tư vấn &amp; Chuyển giao CSKH</t>
  </si>
  <si>
    <t xml:space="preserve">Tư vấn kỹ thuật cây trồng/liều lượng cơ bản, tự động chuyển nhân viên khi khách yêu cầu deal giá lớn/khiếu nại.</t>
  </si>
  <si>
    <t xml:space="preserve">• 10đ: Tư vấn nông học chuẩn xác, chuyển giao nhân viên kèm thông báo rõ ràng.
• 7-9đ: Tư vấn được nhưng thao tác chuyển giao CSKH chưa tự động tag.
• 4-6đ: Trả lời sai kỹ thuật hoặc để khách đợi không có phương án hỗ trợ.
• 0-3đ: Bot bị lặp vòng lặp (loop), không hỗ trợ được gì.</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</si>
</sst>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quot;%&quot;"/>
  </numFmts>
  <fonts count="15">
    <font>
      <sz val="11.000000"/>
      <color theme="1"/>
      <name val="Calibri"/>
      <scheme val="minor"/>
    </font>
    <font>
      <b/>
      <sz val="15.000000"/>
      <color rgb="FF1B365D"/>
      <name val="Arial"/>
    </font>
    <font>
      <i/>
      <sz val="10.000000"/>
      <color rgb="FF555555"/>
      <name val="Arial"/>
    </font>
    <font>
      <b/>
      <sz val="9.000000"/>
      <color rgb="FF666666"/>
      <name val="Arial"/>
    </font>
    <font>
      <b/>
      <sz val="20.000000"/>
      <color rgb="FF1B365D"/>
      <name val="Arial"/>
    </font>
    <font>
      <b/>
      <sz val="14.000000"/>
      <color rgb="FF1B365D"/>
      <name val="Arial"/>
    </font>
    <font>
      <b/>
      <sz val="12.000000"/>
      <color indexed="65"/>
      <name val="Arial"/>
    </font>
    <font>
      <b/>
      <sz val="10.000000"/>
      <color indexed="65"/>
      <name val="Arial"/>
    </font>
    <font>
      <b/>
      <sz val="10.000000"/>
      <color indexed="64"/>
      <name val="Arial"/>
    </font>
    <font>
      <b/>
      <sz val="14.000000"/>
      <color indexed="64"/>
      <name val="Arial"/>
    </font>
    <font>
      <sz val="12.000000"/>
      <color indexed="64"/>
      <name val="Arial"/>
    </font>
    <font>
      <b/>
      <sz val="12.000000"/>
      <color indexed="64"/>
      <name val="Arial"/>
    </font>
    <font>
      <i/>
      <sz val="12.000000"/>
      <color indexed="64"/>
      <name val="Arial"/>
    </font>
    <font>
      <sz val="12.000000"/>
      <color indexed="64"/>
      <name val="Times New Roman"/>
    </font>
    <font>
      <sz val="10.000000"/>
      <color indexed="64"/>
      <name val="Arial"/>
    </font>
  </fonts>
  <fills count="6">
    <fill>
      <patternFill patternType="none"/>
    </fill>
    <fill>
      <patternFill patternType="gray125"/>
    </fill>
    <fill>
      <patternFill patternType="solid">
        <fgColor rgb="FFEBF2FA"/>
        <bgColor rgb="FFEBF2FA"/>
      </patternFill>
    </fill>
    <fill>
      <patternFill patternType="solid">
        <fgColor rgb="FF1B365D"/>
        <bgColor rgb="FF1B365D"/>
      </patternFill>
    </fill>
    <fill>
      <patternFill patternType="solid">
        <fgColor rgb="FF2C4D75"/>
        <bgColor rgb="FF2C4D75"/>
      </patternFill>
    </fill>
    <fill>
      <patternFill patternType="solid">
        <fgColor rgb="FFF4F6F9"/>
        <bgColor rgb="FFF4F6F9"/>
      </patternFill>
    </fill>
  </fills>
  <borders count="4">
    <border>
      <left style="none"/>
      <right style="none"/>
      <top style="none"/>
      <bottom style="none"/>
      <diagonal style="none"/>
    </border>
    <border>
      <left style="thin">
        <color rgb="FFD0D7DE"/>
      </left>
      <right style="thin">
        <color rgb="FFD0D7DE"/>
      </right>
      <top style="thin">
        <color rgb="FFD0D7DE"/>
      </top>
      <bottom style="thin">
        <color rgb="FFD0D7DE"/>
      </bottom>
      <diagonal style="none"/>
    </border>
    <border>
      <left style="thin">
        <color rgb="FFC4C7C5"/>
      </left>
      <right style="thin">
        <color rgb="FFC4C7C5"/>
      </right>
      <top style="thin">
        <color rgb="FFC4C7C5"/>
      </top>
      <bottom style="thin">
        <color rgb="FFC4C7C5"/>
      </bottom>
      <diagonal style="none"/>
    </border>
    <border>
      <left style="thin">
        <color rgb="FFC4C7C5"/>
      </left>
      <right style="thin">
        <color rgb="FFC4C7C5"/>
      </right>
      <top style="thin">
        <color rgb="FFC4C7C5"/>
      </top>
      <bottom style="none"/>
      <diagonal style="none"/>
    </border>
  </borders>
  <cellStyleXfs count="1">
    <xf fontId="0" fillId="0" borderId="0" numFmtId="0" applyNumberFormat="1" applyFont="1" applyFill="1" applyBorder="1"/>
  </cellStyleXfs>
  <cellXfs count="52">
    <xf fontId="0" fillId="0" borderId="0" numFmtId="0" xfId="0" quotePrefix="0" pivotButton="0"/>
    <xf fontId="1" fillId="0" borderId="0" numFmtId="0" xfId="0" applyFont="1" quotePrefix="0" pivotButton="0"/>
    <xf fontId="2" fillId="0" borderId="0" numFmtId="0" xfId="0" applyFont="1" quotePrefix="0" pivotButton="0"/>
    <xf fontId="3" fillId="2" borderId="1" numFmtId="0" xfId="0" applyFont="1" applyFill="1" applyBorder="1" applyAlignment="1" quotePrefix="0" pivotButton="0">
      <alignment horizontal="center" vertical="center" wrapText="1"/>
    </xf>
    <xf fontId="0" fillId="0" borderId="1" numFmtId="0" xfId="0" applyBorder="1" quotePrefix="0" pivotButton="0"/>
    <xf fontId="4" fillId="2" borderId="1" numFmtId="0" xfId="0" applyFont="1" applyFill="1" applyBorder="1" applyAlignment="1" quotePrefix="0" pivotButton="0">
      <alignment horizontal="center" vertical="center" wrapText="1"/>
    </xf>
    <xf fontId="4" fillId="2" borderId="1" numFmtId="2" xfId="0" applyNumberFormat="1" applyFont="1" applyFill="1" applyBorder="1" applyAlignment="1" quotePrefix="0" pivotButton="0">
      <alignment horizontal="center" vertical="center" wrapText="1"/>
    </xf>
    <xf fontId="4" fillId="2" borderId="1" numFmtId="164" xfId="0" applyNumberFormat="1" applyFont="1" applyFill="1" applyBorder="1" applyAlignment="1" quotePrefix="0" pivotButton="0">
      <alignment horizontal="center" vertical="center" wrapText="1"/>
    </xf>
    <xf fontId="5" fillId="2" borderId="1" numFmtId="0" xfId="0" applyFont="1" applyFill="1" applyBorder="1" applyAlignment="1" quotePrefix="0" pivotButton="0">
      <alignment horizontal="center" vertical="center" wrapText="1"/>
    </xf>
    <xf fontId="6" fillId="3" borderId="0" numFmtId="0" xfId="0" applyFont="1" applyFill="1" quotePrefix="0" pivotButton="0"/>
    <xf fontId="0" fillId="3" borderId="0" numFmtId="0" xfId="0" applyFill="1" quotePrefix="0" pivotButton="0"/>
    <xf fontId="7" fillId="4" borderId="1" numFmtId="0" xfId="0" applyFont="1" applyFill="1" applyBorder="1" applyAlignment="1" quotePrefix="0" pivotButton="0">
      <alignment horizontal="center" vertical="center" wrapText="1"/>
    </xf>
    <xf fontId="0" fillId="5" borderId="1" numFmtId="0" xfId="0" applyFill="1" applyBorder="1" applyAlignment="1" quotePrefix="0" pivotButton="0">
      <alignment horizontal="center" vertical="center" wrapText="1"/>
    </xf>
    <xf fontId="0" fillId="5" borderId="1" numFmtId="0" xfId="0" applyFill="1" applyBorder="1" applyAlignment="1" quotePrefix="0" pivotButton="0">
      <alignment horizontal="left" vertical="center" wrapText="1"/>
    </xf>
    <xf fontId="0" fillId="5" borderId="1" numFmtId="9" xfId="0" applyNumberFormat="1" applyFill="1" applyBorder="1" applyAlignment="1" quotePrefix="0" pivotButton="0">
      <alignment horizontal="center" vertical="center" wrapText="1"/>
    </xf>
    <xf fontId="8" fillId="5" borderId="1" numFmtId="2" xfId="0" applyNumberFormat="1" applyFont="1" applyFill="1" applyBorder="1" applyAlignment="1" quotePrefix="0" pivotButton="0">
      <alignment horizontal="center" vertical="center" wrapText="1"/>
    </xf>
    <xf fontId="8" fillId="5" borderId="1" numFmtId="164" xfId="0" applyNumberFormat="1" applyFont="1" applyFill="1" applyBorder="1" applyAlignment="1" quotePrefix="0" pivotButton="0">
      <alignment horizontal="center" vertical="center" wrapText="1"/>
    </xf>
    <xf fontId="0" fillId="0" borderId="1" numFmtId="0" xfId="0" applyBorder="1" applyAlignment="1" quotePrefix="0" pivotButton="0">
      <alignment horizontal="center" vertical="center" wrapText="1"/>
    </xf>
    <xf fontId="0" fillId="0" borderId="1" numFmtId="0" xfId="0" applyBorder="1" applyAlignment="1" quotePrefix="0" pivotButton="0">
      <alignment horizontal="left" vertical="center" wrapText="1"/>
    </xf>
    <xf fontId="0" fillId="0" borderId="1" numFmtId="9" xfId="0" applyNumberFormat="1" applyBorder="1" applyAlignment="1" quotePrefix="0" pivotButton="0">
      <alignment horizontal="center" vertical="center" wrapText="1"/>
    </xf>
    <xf fontId="8" fillId="0" borderId="1" numFmtId="2" xfId="0" applyNumberFormat="1" applyFont="1" applyBorder="1" applyAlignment="1" quotePrefix="0" pivotButton="0">
      <alignment horizontal="center" vertical="center" wrapText="1"/>
    </xf>
    <xf fontId="8" fillId="0" borderId="1" numFmtId="164" xfId="0" applyNumberFormat="1" applyFont="1" applyBorder="1" applyAlignment="1" quotePrefix="0" pivotButton="0">
      <alignment horizontal="center" vertical="center" wrapText="1"/>
    </xf>
    <xf fontId="7" fillId="4" borderId="1" numFmtId="0" xfId="0" applyFont="1" applyFill="1" applyBorder="1" quotePrefix="0" pivotButton="0"/>
    <xf fontId="0" fillId="4" borderId="1" numFmtId="0" xfId="0" applyFill="1" applyBorder="1" quotePrefix="0" pivotButton="0"/>
    <xf fontId="7" fillId="4" borderId="1" numFmtId="9" xfId="0" applyNumberFormat="1" applyFont="1" applyFill="1" applyBorder="1" applyAlignment="1" quotePrefix="0" pivotButton="0">
      <alignment horizontal="center" vertical="center" wrapText="1"/>
    </xf>
    <xf fontId="7" fillId="4" borderId="1" numFmtId="2" xfId="0" applyNumberFormat="1" applyFont="1" applyFill="1" applyBorder="1" applyAlignment="1" quotePrefix="0" pivotButton="0">
      <alignment horizontal="center" vertical="center" wrapText="1"/>
    </xf>
    <xf fontId="7" fillId="4" borderId="1" numFmtId="164" xfId="0" applyNumberFormat="1" applyFont="1" applyFill="1" applyBorder="1" applyAlignment="1" quotePrefix="0" pivotButton="0">
      <alignment horizontal="center" vertical="center" wrapText="1"/>
    </xf>
    <xf fontId="8" fillId="5" borderId="1" numFmtId="0" xfId="0" applyFont="1" applyFill="1" applyBorder="1" applyAlignment="1" quotePrefix="0" pivotButton="0">
      <alignment horizontal="center" vertical="center" wrapText="1"/>
    </xf>
    <xf fontId="0" fillId="0" borderId="1" numFmtId="0" xfId="0" applyBorder="1" applyAlignment="1" quotePrefix="0" pivotButton="0">
      <alignment horizontal="left" vertical="center" wrapText="1"/>
    </xf>
    <xf fontId="8" fillId="0" borderId="1" numFmtId="0" xfId="0" applyFont="1" applyBorder="1" applyAlignment="1" quotePrefix="0" pivotButton="0">
      <alignment horizontal="center" vertical="center" wrapText="1"/>
    </xf>
    <xf fontId="0" fillId="5" borderId="1" numFmtId="0" xfId="0" applyFill="1" applyBorder="1" applyAlignment="1" quotePrefix="0" pivotButton="0">
      <alignment horizontal="left" vertical="center" wrapText="1"/>
    </xf>
    <xf fontId="6" fillId="3" borderId="1" numFmtId="0" xfId="0" applyFont="1" applyFill="1" applyBorder="1" quotePrefix="0" pivotButton="0"/>
    <xf fontId="0" fillId="3" borderId="1" numFmtId="0" xfId="0" applyFill="1" applyBorder="1" quotePrefix="0" pivotButton="0"/>
    <xf fontId="6" fillId="3" borderId="1" numFmtId="2" xfId="0" applyNumberFormat="1" applyFont="1" applyFill="1" applyBorder="1" applyAlignment="1" quotePrefix="0" pivotButton="0">
      <alignment horizontal="center" vertical="center" wrapText="1"/>
    </xf>
    <xf fontId="6" fillId="3" borderId="1" numFmtId="164" xfId="0" applyNumberFormat="1" applyFont="1" applyFill="1" applyBorder="1" applyAlignment="1" quotePrefix="0" pivotButton="0">
      <alignment horizontal="center" vertical="center" wrapText="1"/>
    </xf>
    <xf fontId="6" fillId="3" borderId="1" numFmtId="0" xfId="0" applyFont="1" applyFill="1" applyBorder="1" applyAlignment="1" quotePrefix="0" pivotButton="0">
      <alignment horizontal="center" vertical="center" wrapText="1"/>
    </xf>
    <xf fontId="9" fillId="0" borderId="0" numFmtId="0" xfId="0" applyFont="1" quotePrefix="0" pivotButton="0"/>
    <xf fontId="10" fillId="0" borderId="0" numFmtId="0" xfId="0" applyFont="1" applyAlignment="1" quotePrefix="0" pivotButton="0">
      <alignment horizontal="left"/>
    </xf>
    <xf fontId="11" fillId="0" borderId="2" numFmtId="0" xfId="0" applyFont="1" applyBorder="1" applyAlignment="1" quotePrefix="0" pivotButton="0">
      <alignment horizontal="left" vertical="center" wrapText="1"/>
    </xf>
    <xf fontId="11" fillId="0" borderId="3" numFmtId="0" xfId="0" applyFont="1" applyBorder="1" applyAlignment="1" quotePrefix="0" pivotButton="0">
      <alignment horizontal="left" vertical="center" wrapText="1"/>
    </xf>
    <xf fontId="10" fillId="0" borderId="3" numFmtId="0" xfId="0" applyFont="1" applyBorder="1" applyAlignment="1" quotePrefix="0" pivotButton="0">
      <alignment vertical="center" wrapText="1"/>
    </xf>
    <xf fontId="12" fillId="0" borderId="3" numFmtId="0" xfId="0" applyFont="1" applyBorder="1" applyAlignment="1" quotePrefix="0" pivotButton="0">
      <alignment vertical="center" wrapText="1"/>
    </xf>
    <xf fontId="10" fillId="0" borderId="2" numFmtId="0" xfId="0" applyFont="1" applyBorder="1" applyAlignment="1" quotePrefix="0" pivotButton="0">
      <alignment horizontal="left" vertical="center" wrapText="1"/>
    </xf>
    <xf fontId="12" fillId="0" borderId="2" numFmtId="0" xfId="0" applyFont="1" applyBorder="1" applyAlignment="1" quotePrefix="0" pivotButton="0">
      <alignment horizontal="left" vertical="center" wrapText="1"/>
    </xf>
    <xf fontId="13" fillId="0" borderId="3" numFmtId="0" xfId="0" applyFont="1" applyBorder="1" applyAlignment="1" quotePrefix="0" pivotButton="0">
      <alignment horizontal="left" vertical="center" wrapText="1"/>
    </xf>
    <xf fontId="11" fillId="0" borderId="3" numFmtId="0" xfId="0" applyFont="1" applyBorder="1" applyAlignment="1" quotePrefix="0" pivotButton="0">
      <alignment vertical="center" wrapText="1"/>
    </xf>
    <xf fontId="10" fillId="0" borderId="3" numFmtId="0" xfId="0" applyFont="1" applyBorder="1" applyAlignment="1" quotePrefix="0" pivotButton="0">
      <alignment horizontal="left" vertical="center" wrapText="1"/>
    </xf>
    <xf fontId="12" fillId="0" borderId="3" numFmtId="0" xfId="0" applyFont="1" applyBorder="1" applyAlignment="1" quotePrefix="0" pivotButton="0">
      <alignment horizontal="left" vertical="center" wrapText="1"/>
    </xf>
    <xf fontId="8" fillId="5" borderId="1" numFmtId="0" xfId="0" applyFont="1" applyFill="1" applyBorder="1" applyAlignment="1" quotePrefix="0" pivotButton="0">
      <alignment horizontal="left" vertical="center" wrapText="1"/>
    </xf>
    <xf fontId="14" fillId="5" borderId="1" numFmtId="0" xfId="0" applyFont="1" applyFill="1" applyBorder="1" applyAlignment="1" quotePrefix="0" pivotButton="0">
      <alignment horizontal="left" vertical="center" wrapText="1"/>
    </xf>
    <xf fontId="8" fillId="0" borderId="1" numFmtId="0" xfId="0" applyFont="1" applyBorder="1" applyAlignment="1" quotePrefix="0" pivotButton="0">
      <alignment horizontal="left" vertical="center" wrapText="1"/>
    </xf>
    <xf fontId="14" fillId="0" borderId="1" numFmtId="0" xfId="0" applyFont="1" applyBorder="1" applyAlignment="1" quotePrefix="0" pivotButton="0">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charts/_rels/chart1.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roundedCorners val="0"/>
  <mc:AlternateContent>
    <mc:Choice Requires="c14">
      <c14:style val="110"/>
    </mc:Choice>
    <mc:Fallback>
      <c:style val="10"/>
    </mc:Fallback>
  </mc:AlternateContent>
  <c:chart>
    <c:title>
      <c:tx>
        <c:rich>
          <a:bodyPr/>
          <a:p>
            <a:pPr>
              <a:defRPr/>
            </a:pPr>
            <a:r>
              <a:rPr/>
              <a:t>ĐIỂM HIỆU QUẢ THEO TỪNG NHÓM TÍNH NĂNG (THANG 10)</a:t>
            </a:r>
            <a:endParaRPr/>
          </a:p>
        </c:rich>
      </c:tx>
      <c:layout/>
      <c:overlay val="0"/>
    </c:title>
    <c:plotArea>
      <c:layout>
        <c:manualLayout>
          <c:layoutTarget val="inner"/>
          <c:xMode val="edge"/>
          <c:yMode val="edge"/>
          <c:x val="0.032640"/>
          <c:y val="0.121030"/>
          <c:w val="0.913880"/>
          <c:h val="0.761780"/>
        </c:manualLayout>
      </c:layout>
      <c:barChart>
        <c:barDir val="col"/>
        <c:grouping val="clustered"/>
        <c:varyColors val="0"/>
        <c:ser>
          <c:idx val="0"/>
          <c:order val="0"/>
          <c:tx>
            <c:strRef>
              <c:f>'📊 Báo Cáo Đánh Giá'!E10</c:f>
            </c:strRef>
          </c:tx>
          <c:spPr bwMode="auto">
            <a:ln>
              <a:prstDash val="solid"/>
            </a:ln>
          </c:spPr>
          <c:cat>
            <c:numRef>
              <c:f>'📊 Báo Cáo Đánh Giá'!$B$11:$B$15</c:f>
            </c:numRef>
          </c:cat>
          <c:val>
            <c:numRef>
              <c:f>'📊 Báo Cáo Đánh Giá'!$E$11:$E$15</c:f>
            </c:numRef>
          </c:val>
        </c:ser>
        <c:dLbls>
          <c:showBubbleSize val="0"/>
          <c:showCatName val="0"/>
          <c:showLegendKey val="0"/>
          <c:showPercent val="0"/>
          <c:showSerName val="0"/>
          <c:showVal val="0"/>
        </c:dLbls>
        <c:gapWidth val="150"/>
        <c:axId val="10"/>
        <c:axId val="100"/>
      </c:barChart>
      <c:catAx>
        <c:axId val="10"/>
        <c:scaling>
          <c:orientation val="minMax"/>
        </c:scaling>
        <c:delete val="0"/>
        <c:axPos val="l"/>
        <c:majorTickMark val="none"/>
        <c:minorTickMark val="none"/>
        <c:crossAx val="100"/>
        <c:crosses val="autoZero"/>
        <c:lblOffset val="100"/>
        <c:noMultiLvlLbl val="0"/>
      </c:catAx>
      <c:valAx>
        <c:axId val="100"/>
        <c:scaling>
          <c:orientation val="minMax"/>
          <c:max val="10.000000"/>
          <c:min val="0.000000"/>
        </c:scaling>
        <c:delete val="0"/>
        <c:axPos val="l"/>
        <c:majorGridlines>
          <c:spPr bwMode="auto"/>
        </c:majorGridlines>
        <c:title>
          <c:tx>
            <c:rich>
              <a:bodyPr/>
              <a:p>
                <a:pPr>
                  <a:defRPr/>
                </a:pPr>
                <a:r>
                  <a:rPr/>
                  <a:t>Điểm số trung bình</a:t>
                </a:r>
                <a:endParaRPr/>
              </a:p>
            </c:rich>
          </c:tx>
          <c:layout/>
          <c:overlay val="0"/>
        </c:title>
        <c:majorTickMark val="none"/>
        <c:minorTickMark val="none"/>
        <c:crossAx val="10"/>
        <c:crosses val="autoZero"/>
        <c:crossBetween val="between"/>
      </c:valAx>
    </c:plotArea>
    <c:plotVisOnly val="1"/>
    <c:dispBlanksAs val="gap"/>
    <c:showDLblsOverMax val="0"/>
  </c:chart>
  <c:spPr bwMode="auto">
    <a:xfrm rot="0">
      <a:off x="6800849" y="1504949"/>
      <a:ext cx="7362824" cy="4714875"/>
    </a:xfrm>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6</xdr:col>
      <xdr:colOff>333374</xdr:colOff>
      <xdr:row>7</xdr:row>
      <xdr:rowOff>180974</xdr:rowOff>
    </xdr:from>
    <xdr:ext cx="7362824" cy="4714875"/>
    <xdr:graphicFrame>
      <xdr:nvGraphicFramePr>
        <xdr:cNvPr id="1" name="Chart 1"/>
        <xdr:cNvGraphicFramePr>
          <a:graphicFrameLocks xmlns:a="http://schemas.openxmlformats.org/drawingml/2006/main"/>
        </xdr:cNvGraphicFramePr>
      </xdr:nvGraphicFramePr>
      <xdr:xfrm rot="0">
        <a:off x="6800849" y="1504949"/>
        <a:ext cx="7362824" cy="471487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1" zoomScale="100" workbookViewId="0">
      <selection activeCell="A1" activeCellId="0" sqref="A1"/>
    </sheetView>
  </sheetViews>
  <sheetFormatPr baseColWidth="8" defaultRowHeight="14.25"/>
  <cols>
    <col customWidth="1" min="1" max="1" width="8"/>
    <col customWidth="1" min="2" max="2" width="26"/>
    <col customWidth="1" min="3" max="3" width="14"/>
    <col customWidth="1" min="4" max="4" width="13"/>
    <col customWidth="1" min="5" max="5" width="20"/>
    <col customWidth="1" min="6" max="6" width="16"/>
    <col customWidth="1" min="7" max="7" width="5"/>
    <col customWidth="1" min="8" max="11" width="16"/>
  </cols>
  <sheetData>
    <row r="1" ht="18.75">
      <c r="A1" s="1" t="s">
        <v>0</v>
      </c>
    </row>
    <row r="2">
      <c r="A2" s="2" t="s">
        <v>1</v>
      </c>
    </row>
    <row r="4">
      <c r="A4" s="3" t="s">
        <v>2</v>
      </c>
      <c r="B4" s="4"/>
      <c r="D4" s="3" t="s">
        <v>3</v>
      </c>
      <c r="E4" s="4"/>
      <c r="G4" s="3" t="s">
        <v>4</v>
      </c>
      <c r="H4" s="4"/>
      <c r="J4" s="3" t="s">
        <v>5</v>
      </c>
      <c r="K4" s="4"/>
    </row>
    <row r="5">
      <c r="A5" s="5">
        <f>COUNTA('📝 Bộ Test &amp; Chấm Điểm'!A5:A18)</f>
        <v>14</v>
      </c>
      <c r="B5" s="4"/>
      <c r="D5" s="6">
        <f>'📝 Bộ Test &amp; Chấm Điểm'!G19</f>
        <v>5</v>
      </c>
      <c r="E5" s="4"/>
      <c r="G5" s="7">
        <f>'📝 Bộ Test &amp; Chấm Điểm'!H19</f>
        <v>50</v>
      </c>
      <c r="H5" s="4"/>
      <c r="J5" s="8" t="str">
        <f>IF(D5&gt;=8.5,"SẴN SÀNG GO-LIVE",IF(D5&gt;=7.0,"CẦN TINH CHỈNH THÊM","CHƯA ĐẠT CHUẨN"))</f>
        <v xml:space="preserve">CHƯA ĐẠT CHUẨN</v>
      </c>
      <c r="K5" s="4"/>
    </row>
    <row r="6">
      <c r="A6" s="4"/>
      <c r="B6" s="4"/>
      <c r="D6" s="4"/>
      <c r="E6" s="4"/>
      <c r="G6" s="4"/>
      <c r="H6" s="4"/>
      <c r="J6" s="4"/>
      <c r="K6" s="4"/>
    </row>
    <row r="9" ht="15">
      <c r="A9" s="9" t="s">
        <v>6</v>
      </c>
      <c r="B9" s="10"/>
      <c r="C9" s="10"/>
      <c r="D9" s="10"/>
      <c r="E9" s="10"/>
      <c r="F9" s="10"/>
    </row>
    <row r="10">
      <c r="A10" s="11" t="s">
        <v>7</v>
      </c>
      <c r="B10" s="11" t="s">
        <v>8</v>
      </c>
      <c r="C10" s="11" t="s">
        <v>9</v>
      </c>
      <c r="D10" s="11" t="s">
        <v>10</v>
      </c>
      <c r="E10" s="11" t="s">
        <v>11</v>
      </c>
      <c r="F10" s="11" t="s">
        <v>12</v>
      </c>
    </row>
    <row r="11">
      <c r="A11" s="12">
        <v>1</v>
      </c>
      <c r="B11" s="13" t="s">
        <v>13</v>
      </c>
      <c r="C11" s="12">
        <f>COUNTIF('📝 Bộ Test &amp; Chấm Điểm'!$B$5:$B$18, "1. Nhận diện &amp; CRM")</f>
        <v>3</v>
      </c>
      <c r="D11" s="14">
        <v>0.25</v>
      </c>
      <c r="E11" s="15">
        <f>AVERAGEIF('📝 Bộ Test &amp; Chấm Điểm'!$B$5:$B$18, "1. Nhận diện &amp; CRM", '📝 Bộ Test &amp; Chấm Điểm'!$G$5:$G$18)</f>
        <v>4.333333333333333</v>
      </c>
      <c r="F11" s="16">
        <f t="shared" ref="F11:F16" si="0">E11*10</f>
        <v>43.333333333333329</v>
      </c>
    </row>
    <row r="12">
      <c r="A12" s="17">
        <v>2</v>
      </c>
      <c r="B12" s="18" t="s">
        <v>14</v>
      </c>
      <c r="C12" s="17">
        <f>COUNTIF('📝 Bộ Test &amp; Chấm Điểm'!$B$5:$B$18, "2. Định vị Đại lý")</f>
        <v>3</v>
      </c>
      <c r="D12" s="19">
        <v>0.25</v>
      </c>
      <c r="E12" s="20">
        <f>AVERAGEIF('📝 Bộ Test &amp; Chấm Điểm'!$B$5:$B$18, "2. Định vị Đại lý", '📝 Bộ Test &amp; Chấm Điểm'!$G$5:$G$18)</f>
        <v>4.666666666666667</v>
      </c>
      <c r="F12" s="21">
        <f t="shared" si="0"/>
        <v>46.666666666666671</v>
      </c>
    </row>
    <row r="13">
      <c r="A13" s="12">
        <v>3</v>
      </c>
      <c r="B13" s="13" t="s">
        <v>15</v>
      </c>
      <c r="C13" s="12">
        <f>COUNTIF('📝 Bộ Test &amp; Chấm Điểm'!$B$5:$B$18, "3. Tồn kho &amp; Đơn hàng")</f>
        <v>3</v>
      </c>
      <c r="D13" s="14">
        <v>0.20000000000000001</v>
      </c>
      <c r="E13" s="15">
        <f>AVERAGEIF('📝 Bộ Test &amp; Chấm Điểm'!$B$5:$B$18, "3. Tồn kho &amp; Đơn hàng", '📝 Bộ Test &amp; Chấm Điểm'!$G$5:$G$18)</f>
        <v>3.3333333333333335</v>
      </c>
      <c r="F13" s="16">
        <f t="shared" si="0"/>
        <v>33.333333333333336</v>
      </c>
    </row>
    <row r="14">
      <c r="A14" s="17">
        <v>4</v>
      </c>
      <c r="B14" s="18" t="s">
        <v>16</v>
      </c>
      <c r="C14" s="17">
        <f>COUNTIF('📝 Bộ Test &amp; Chấm Điểm'!$B$5:$B$18, "4. Bảo mật &amp; Phân quyền")</f>
        <v>2</v>
      </c>
      <c r="D14" s="19">
        <v>0.14999999999999999</v>
      </c>
      <c r="E14" s="20">
        <f>AVERAGEIF('📝 Bộ Test &amp; Chấm Điểm'!$B$5:$B$18, "4. Bảo mật &amp; Phân quyền", '📝 Bộ Test &amp; Chấm Điểm'!$G$5:$G$18)</f>
        <v>10</v>
      </c>
      <c r="F14" s="21">
        <f t="shared" si="0"/>
        <v>100</v>
      </c>
    </row>
    <row r="15">
      <c r="A15" s="12">
        <v>5</v>
      </c>
      <c r="B15" s="13" t="s">
        <v>17</v>
      </c>
      <c r="C15" s="12">
        <f>COUNTIF('📝 Bộ Test &amp; Chấm Điểm'!$B$5:$B$18, "5. Tư vấn &amp; Chuyển giao")</f>
        <v>3</v>
      </c>
      <c r="D15" s="14">
        <v>0.14999999999999999</v>
      </c>
      <c r="E15" s="15">
        <f>AVERAGEIF('📝 Bộ Test &amp; Chấm Điểm'!$B$5:$B$18, "5. Tư vấn &amp; Chuyển giao", '📝 Bộ Test &amp; Chấm Điểm'!$G$5:$G$18)</f>
        <v>4.333333333333333</v>
      </c>
      <c r="F15" s="16">
        <f t="shared" si="0"/>
        <v>43.333333333333329</v>
      </c>
    </row>
    <row r="16">
      <c r="A16" s="22" t="s">
        <v>18</v>
      </c>
      <c r="B16" s="23"/>
      <c r="C16" s="11">
        <f>SUM(C11:C15)</f>
        <v>14</v>
      </c>
      <c r="D16" s="24">
        <f>SUM(D11:D15)</f>
        <v>1</v>
      </c>
      <c r="E16" s="25">
        <f>SUMPRODUCT(D11:D15, E11:E15)</f>
        <v>5.0666666666666664</v>
      </c>
      <c r="F16" s="26">
        <f t="shared" si="0"/>
        <v>50.666666666666664</v>
      </c>
    </row>
  </sheetData>
  <mergeCells count="10">
    <mergeCell ref="A4:B4"/>
    <mergeCell ref="D4:E4"/>
    <mergeCell ref="G4:H4"/>
    <mergeCell ref="J4:K4"/>
    <mergeCell ref="A5:B6"/>
    <mergeCell ref="D5:E6"/>
    <mergeCell ref="G5:H6"/>
    <mergeCell ref="J5:K6"/>
    <mergeCell ref="A9:F9"/>
    <mergeCell ref="A16:B16"/>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1" topLeftCell="A6" zoomScale="100" workbookViewId="0">
      <selection activeCell="A1" activeCellId="0" sqref="A1"/>
    </sheetView>
  </sheetViews>
  <sheetFormatPr baseColWidth="8" defaultRowHeight="14.25"/>
  <cols>
    <col customWidth="1" min="1" max="1" width="10"/>
    <col customWidth="1" min="2" max="2" width="22"/>
    <col customWidth="1" min="3" max="3" width="11"/>
    <col customWidth="1" min="4" max="4" width="38"/>
    <col customWidth="1" min="5" max="5" width="42"/>
    <col customWidth="1" min="6" max="6" width="45"/>
    <col customWidth="1" min="7" max="7" width="12"/>
    <col customWidth="1" min="8" max="8" width="14"/>
    <col customWidth="1" min="9" max="9" width="16"/>
    <col customWidth="1" min="10" max="10" width="28"/>
  </cols>
  <sheetData>
    <row r="1" ht="18.75">
      <c r="A1" s="1" t="s">
        <v>19</v>
      </c>
    </row>
    <row r="2">
      <c r="A2" s="2" t="s">
        <v>20</v>
      </c>
    </row>
    <row r="4" ht="25.5">
      <c r="A4" s="11" t="s">
        <v>21</v>
      </c>
      <c r="B4" s="11" t="s">
        <v>22</v>
      </c>
      <c r="C4" s="11" t="s">
        <v>10</v>
      </c>
      <c r="D4" s="11" t="s">
        <v>23</v>
      </c>
      <c r="E4" s="11" t="s">
        <v>24</v>
      </c>
      <c r="F4" s="11" t="s">
        <v>25</v>
      </c>
      <c r="G4" s="11" t="s">
        <v>26</v>
      </c>
      <c r="H4" s="11" t="s">
        <v>27</v>
      </c>
      <c r="I4" s="11" t="s">
        <v>28</v>
      </c>
      <c r="J4" s="11" t="s">
        <v>29</v>
      </c>
    </row>
    <row r="5" ht="99.75">
      <c r="A5" s="12" t="s">
        <v>30</v>
      </c>
      <c r="B5" s="13" t="s">
        <v>13</v>
      </c>
      <c r="C5" s="14">
        <v>0.25</v>
      </c>
      <c r="D5" s="13" t="s">
        <v>31</v>
      </c>
      <c r="E5" s="13" t="s">
        <v>32</v>
      </c>
      <c r="F5" s="13" t="s">
        <v>33</v>
      </c>
      <c r="G5" s="27">
        <v>7</v>
      </c>
      <c r="H5" s="16">
        <f t="shared" ref="H5:H9" si="1">G5*10</f>
        <v>70</v>
      </c>
      <c r="I5" s="27" t="str">
        <f t="shared" ref="I5:I9" si="2">IF(G5&gt;=8,"ĐẠT (PASS)",IF(G5&gt;=5,"CẦN SỬA","KHÔNG ĐẠT"))</f>
        <v xml:space="preserve">CẦN SỬA</v>
      </c>
      <c r="J5" s="13" t="str">
        <f>VLOOKUP(A5,'Kịch bản'!B:I,8,0)</f>
        <v xml:space="preserve">Bỏ đoạn dán địa chỉ công ty mặc định ở đầu tin nhắn; nên tập trung báo giá niêm yết tham khảo trước khi xin thông tin.</v>
      </c>
    </row>
    <row r="6" ht="71.25">
      <c r="A6" s="17" t="s">
        <v>34</v>
      </c>
      <c r="B6" s="18" t="s">
        <v>13</v>
      </c>
      <c r="C6" s="19">
        <v>0.25</v>
      </c>
      <c r="D6" s="28" t="s">
        <v>35</v>
      </c>
      <c r="E6" s="18" t="s">
        <v>36</v>
      </c>
      <c r="F6" s="13" t="s">
        <v>37</v>
      </c>
      <c r="G6" s="27">
        <v>2</v>
      </c>
      <c r="H6" s="21">
        <f t="shared" si="1"/>
        <v>20</v>
      </c>
      <c r="I6" s="29" t="str">
        <f t="shared" si="2"/>
        <v xml:space="preserve">KHÔNG ĐẠT</v>
      </c>
      <c r="J6" s="13" t="str">
        <f>VLOOKUP(A6,'Kịch bản'!B:I,8,0)</f>
        <v xml:space="preserve">Chưa tích hợp query CRM; không nhận diện được đại lý/khách cũ; trả lời lạc đề (đưa địa chỉ công ty thay vì kiểm tra đơn có hay không).</v>
      </c>
    </row>
    <row r="7" ht="71.25">
      <c r="A7" s="12" t="s">
        <v>38</v>
      </c>
      <c r="B7" s="13" t="s">
        <v>13</v>
      </c>
      <c r="C7" s="14">
        <v>0.25</v>
      </c>
      <c r="D7" s="13" t="s">
        <v>39</v>
      </c>
      <c r="E7" s="13" t="s">
        <v>40</v>
      </c>
      <c r="F7" s="13" t="s">
        <v>41</v>
      </c>
      <c r="G7" s="27">
        <v>4</v>
      </c>
      <c r="H7" s="16">
        <f t="shared" si="1"/>
        <v>40</v>
      </c>
      <c r="I7" s="27" t="str">
        <f t="shared" si="2"/>
        <v xml:space="preserve">KHÔNG ĐẠT</v>
      </c>
      <c r="J7" s="13" t="str">
        <f>VLOOKUP(A7,'Kịch bản'!B:I,8,0)</f>
        <v xml:space="preserve">Lỗi logic gán biến (Slot-filling error); không gọi API CRM kiểm tra điểm/chiết khấu theo SĐT.</v>
      </c>
    </row>
    <row r="8" ht="57">
      <c r="A8" s="17" t="s">
        <v>42</v>
      </c>
      <c r="B8" s="18" t="s">
        <v>14</v>
      </c>
      <c r="C8" s="19">
        <v>0.25</v>
      </c>
      <c r="D8" s="28" t="s">
        <v>43</v>
      </c>
      <c r="E8" s="18" t="s">
        <v>44</v>
      </c>
      <c r="F8" s="13" t="s">
        <v>45</v>
      </c>
      <c r="G8" s="27">
        <v>5</v>
      </c>
      <c r="H8" s="21">
        <f t="shared" si="1"/>
        <v>50</v>
      </c>
      <c r="I8" s="29" t="str">
        <f t="shared" si="2"/>
        <v xml:space="preserve">CẦN SỬA</v>
      </c>
      <c r="J8" s="13" t="str">
        <f>VLOOKUP(A8,'Kịch bản'!B:I,8,0)</f>
        <v xml:space="preserve">Chưa kết nối API tra cứu đại lý theo vị trí text/địa danh; quy trình phụ thuộc hoàn toàn vào sale liên hệ lại.</v>
      </c>
    </row>
    <row r="9" ht="71.25">
      <c r="A9" s="12" t="s">
        <v>46</v>
      </c>
      <c r="B9" s="13" t="s">
        <v>14</v>
      </c>
      <c r="C9" s="14">
        <v>0.25</v>
      </c>
      <c r="D9" s="30" t="s">
        <v>47</v>
      </c>
      <c r="E9" s="13" t="s">
        <v>48</v>
      </c>
      <c r="F9" s="13" t="s">
        <v>49</v>
      </c>
      <c r="G9" s="27">
        <v>4</v>
      </c>
      <c r="H9" s="16">
        <f t="shared" si="1"/>
        <v>40</v>
      </c>
      <c r="I9" s="27" t="str">
        <f t="shared" si="2"/>
        <v xml:space="preserve">KHÔNG ĐẠT</v>
      </c>
      <c r="J9" s="13" t="str">
        <f>VLOOKUP(A9,'Kịch bản'!B:I,8,0)</f>
        <v xml:space="preserve">Chưa hỗ trợ webhook/xử lý tin nhắn dạng Location từ Facebook Messenger</v>
      </c>
    </row>
    <row r="10" ht="99.75">
      <c r="A10" s="17" t="s">
        <v>50</v>
      </c>
      <c r="B10" s="18" t="s">
        <v>14</v>
      </c>
      <c r="C10" s="19">
        <v>0.25</v>
      </c>
      <c r="D10" s="18" t="s">
        <v>51</v>
      </c>
      <c r="E10" s="18" t="s">
        <v>52</v>
      </c>
      <c r="F10" s="18" t="s">
        <v>45</v>
      </c>
      <c r="G10" s="27">
        <v>5</v>
      </c>
      <c r="H10" s="21">
        <f t="shared" ref="H10:H18" si="3">G10*10</f>
        <v>50</v>
      </c>
      <c r="I10" s="29" t="str">
        <f t="shared" ref="I10:I18" si="4">IF(G10&gt;=8,"ĐẠT (PASS)",IF(G10&gt;=5,"CẦN SỬA","KHÔNG ĐẠT"))</f>
        <v xml:space="preserve">CẦN SỬA</v>
      </c>
      <c r="J10" s="13" t="str">
        <f>VLOOKUP(A10,'Kịch bản'!B:I,8,0)</f>
        <v xml:space="preserve">Chưa có tính năng lọc đại lý theo tiêu chí "giao hàng tận nơi" và phân vùng xã/huyện.</v>
      </c>
    </row>
    <row r="11" ht="142.5">
      <c r="A11" s="12" t="s">
        <v>53</v>
      </c>
      <c r="B11" s="13" t="s">
        <v>15</v>
      </c>
      <c r="C11" s="14">
        <v>0.20000000000000001</v>
      </c>
      <c r="D11" s="13" t="s">
        <v>54</v>
      </c>
      <c r="E11" s="13" t="s">
        <v>55</v>
      </c>
      <c r="F11" s="13" t="s">
        <v>56</v>
      </c>
      <c r="G11" s="27">
        <v>3</v>
      </c>
      <c r="H11" s="16">
        <f t="shared" si="3"/>
        <v>30</v>
      </c>
      <c r="I11" s="27" t="str">
        <f t="shared" si="4"/>
        <v xml:space="preserve">KHÔNG ĐẠT</v>
      </c>
      <c r="J11" s="13" t="str">
        <f>VLOOKUP(A11,'Kịch bản'!B:I,8,0)</f>
        <v xml:space="preserve">Chưa kết nối cơ sở dữ liệu tồn kho thời gian thực; không nhận biết số lượng mua lớn để kích hoạt quy trình giữ hàng.</v>
      </c>
    </row>
    <row r="12" ht="71.25">
      <c r="A12" s="17" t="s">
        <v>57</v>
      </c>
      <c r="B12" s="18" t="s">
        <v>15</v>
      </c>
      <c r="C12" s="19">
        <v>0.20000000000000001</v>
      </c>
      <c r="D12" s="28" t="s">
        <v>58</v>
      </c>
      <c r="E12" s="18" t="s">
        <v>59</v>
      </c>
      <c r="F12" s="13" t="s">
        <v>60</v>
      </c>
      <c r="G12" s="27">
        <v>3</v>
      </c>
      <c r="H12" s="21">
        <f t="shared" si="3"/>
        <v>30</v>
      </c>
      <c r="I12" s="29" t="str">
        <f t="shared" si="4"/>
        <v xml:space="preserve">KHÔNG ĐẠT</v>
      </c>
      <c r="J12" s="13" t="str">
        <f>VLOOKUP(A12,'Kịch bản'!B:I,8,0)</f>
        <v xml:space="preserve">Phân loại sai ý định người dùng (Intent Classification sai: từ hỏi tồn kho bị nhận nhầm thành hỏi kỹ thuật bón).</v>
      </c>
    </row>
    <row r="13" ht="57">
      <c r="A13" s="12" t="s">
        <v>61</v>
      </c>
      <c r="B13" s="13" t="s">
        <v>15</v>
      </c>
      <c r="C13" s="14">
        <v>0.20000000000000001</v>
      </c>
      <c r="D13" s="13" t="s">
        <v>62</v>
      </c>
      <c r="E13" s="13" t="s">
        <v>63</v>
      </c>
      <c r="F13" s="13" t="s">
        <v>64</v>
      </c>
      <c r="G13" s="27">
        <v>4</v>
      </c>
      <c r="H13" s="16">
        <f t="shared" si="3"/>
        <v>40</v>
      </c>
      <c r="I13" s="27" t="str">
        <f t="shared" si="4"/>
        <v xml:space="preserve">KHÔNG ĐẠT</v>
      </c>
      <c r="J13" s="13" t="str">
        <f>VLOOKUP(A13,'Kịch bản'!B:I,8,0)</f>
        <v xml:space="preserve">Chưa tích hợp API tra cứu vận đơn/logistics tự động theo mã đơn hàng.</v>
      </c>
    </row>
    <row r="14" ht="71.25">
      <c r="A14" s="17" t="s">
        <v>65</v>
      </c>
      <c r="B14" s="18" t="s">
        <v>16</v>
      </c>
      <c r="C14" s="19">
        <v>0.14999999999999999</v>
      </c>
      <c r="D14" s="18" t="s">
        <v>66</v>
      </c>
      <c r="E14" s="18" t="s">
        <v>67</v>
      </c>
      <c r="F14" s="13" t="s">
        <v>68</v>
      </c>
      <c r="G14" s="27">
        <v>10</v>
      </c>
      <c r="H14" s="21">
        <f t="shared" si="3"/>
        <v>100</v>
      </c>
      <c r="I14" s="29" t="str">
        <f t="shared" si="4"/>
        <v xml:space="preserve">ĐẠT (PASS)</v>
      </c>
      <c r="J14" s="18"/>
    </row>
    <row r="15" ht="99.75">
      <c r="A15" s="12" t="s">
        <v>69</v>
      </c>
      <c r="B15" s="13" t="s">
        <v>16</v>
      </c>
      <c r="C15" s="14">
        <v>0.14999999999999999</v>
      </c>
      <c r="D15" s="13" t="s">
        <v>70</v>
      </c>
      <c r="E15" s="13" t="s">
        <v>71</v>
      </c>
      <c r="F15" s="30" t="s">
        <v>72</v>
      </c>
      <c r="G15" s="27">
        <v>10</v>
      </c>
      <c r="H15" s="16">
        <f t="shared" si="3"/>
        <v>100</v>
      </c>
      <c r="I15" s="27" t="str">
        <f t="shared" si="4"/>
        <v xml:space="preserve">ĐẠT (PASS)</v>
      </c>
      <c r="J15" s="13"/>
    </row>
    <row r="16" ht="114">
      <c r="A16" s="17" t="s">
        <v>73</v>
      </c>
      <c r="B16" s="18" t="s">
        <v>17</v>
      </c>
      <c r="C16" s="19">
        <v>0.14999999999999999</v>
      </c>
      <c r="D16" s="18" t="s">
        <v>74</v>
      </c>
      <c r="E16" s="18" t="s">
        <v>75</v>
      </c>
      <c r="F16" s="13" t="s">
        <v>76</v>
      </c>
      <c r="G16" s="27">
        <v>4</v>
      </c>
      <c r="H16" s="21">
        <f t="shared" si="3"/>
        <v>40</v>
      </c>
      <c r="I16" s="29" t="str">
        <f t="shared" si="4"/>
        <v xml:space="preserve">KHÔNG ĐẠT</v>
      </c>
      <c r="J16" s="13" t="str">
        <f>VLOOKUP(A16,'Kịch bản'!B:I,8,0)</f>
        <v xml:space="preserve">Bot không trích xuất được thực thể (Entity: sầu riêng, rụng hạt chuỗi); phản hồi rập khuôn và bị lặp form hỏi thông tin.</v>
      </c>
    </row>
    <row r="17" ht="114">
      <c r="A17" s="12" t="s">
        <v>77</v>
      </c>
      <c r="B17" s="13" t="s">
        <v>17</v>
      </c>
      <c r="C17" s="14">
        <v>0.14999999999999999</v>
      </c>
      <c r="D17" s="13" t="s">
        <v>78</v>
      </c>
      <c r="E17" s="13" t="s">
        <v>79</v>
      </c>
      <c r="F17" s="13" t="s">
        <v>80</v>
      </c>
      <c r="G17" s="27">
        <v>6</v>
      </c>
      <c r="H17" s="16">
        <f t="shared" si="3"/>
        <v>60</v>
      </c>
      <c r="I17" s="27" t="str">
        <f t="shared" si="4"/>
        <v xml:space="preserve">CẦN SỬA</v>
      </c>
      <c r="J17" s="13" t="str">
        <f>VLOOKUP(A17,'Kịch bản'!B:I,8,0)</f>
        <v xml:space="preserve">Cần ưu tiên ngay luồng "Khách hàng B2B/Đơn hàng lớn": Đưa thẳng hotline kinh doanh và xin SĐT trực tiếp, bỏ qua bước tư vấn kỹ thuật cây trồng.</v>
      </c>
    </row>
    <row r="18" ht="99.75">
      <c r="A18" s="17" t="s">
        <v>81</v>
      </c>
      <c r="B18" s="18" t="s">
        <v>17</v>
      </c>
      <c r="C18" s="19">
        <v>0.14999999999999999</v>
      </c>
      <c r="D18" s="18" t="s">
        <v>82</v>
      </c>
      <c r="E18" s="18" t="s">
        <v>83</v>
      </c>
      <c r="F18" s="13" t="s">
        <v>84</v>
      </c>
      <c r="G18" s="27">
        <v>3</v>
      </c>
      <c r="H18" s="21">
        <f t="shared" si="3"/>
        <v>30</v>
      </c>
      <c r="I18" s="29" t="str">
        <f t="shared" si="4"/>
        <v xml:space="preserve">KHÔNG ĐẠT</v>
      </c>
      <c r="J18" s="13" t="str">
        <f>VLOOKUP(A18,'Kịch bản'!B:I,8,0)</f>
        <v xml:space="preserve">Thiếu hẳn bộ kịch bản xử lý sự cố / khiếu nại (Complaint Handling); trả lời máy móc gây ức chế cho khách hàng.</v>
      </c>
    </row>
    <row r="19" ht="15">
      <c r="A19" s="31" t="s">
        <v>85</v>
      </c>
      <c r="B19" s="32"/>
      <c r="C19" s="32"/>
      <c r="D19" s="32"/>
      <c r="E19" s="32"/>
      <c r="F19" s="32"/>
      <c r="G19" s="33">
        <f>AVERAGE(G5:G18)</f>
        <v>5</v>
      </c>
      <c r="H19" s="34">
        <f>AVERAGE(H5:H18)</f>
        <v>50</v>
      </c>
      <c r="I19" s="35" t="str">
        <f>IF(G19&gt;=8,"XUẤT SẮC",IF(G19&gt;=6.5,"ĐẠT YÊU CẦU","CHƯA ĐẠT"))</f>
        <v xml:space="preserve">CHƯA ĐẠT</v>
      </c>
      <c r="J19" s="32"/>
    </row>
  </sheetData>
  <mergeCells count="1">
    <mergeCell ref="A19:F19"/>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4" disablePrompts="0">
        <x14:dataValidation xr:uid="{E9B9D28A-9322-4902-93EB-8C550EC56FD4}" type="whole" allowBlank="1" error="Điểm phải là số nguyên từ 0 đến 10!" errorStyle="stop" errorTitle="Lỗi nhập điểm" imeMode="noControl" operator="between" showDropDown="0" showErrorMessage="0" showInputMessage="0">
          <x14:formula1>
            <xm:f>0</xm:f>
          </x14:formula1>
          <x14:formula2>
            <xm:f>10</xm:f>
          </x14:formula2>
          <xm:sqref>G5</xm:sqref>
        </x14:dataValidation>
        <x14:dataValidation xr:uid="{09661E05-9CA3-42CC-B5BD-A8257D2CF5DE}" type="whole" allowBlank="1" error="Điểm phải là số nguyên từ 0 đến 10!" errorStyle="stop" errorTitle="Lỗi nhập điểm" imeMode="noControl" operator="between" showDropDown="0" showErrorMessage="0" showInputMessage="0">
          <x14:formula1>
            <xm:f>0</xm:f>
          </x14:formula1>
          <x14:formula2>
            <xm:f>10</xm:f>
          </x14:formula2>
          <xm:sqref>G14</xm:sqref>
        </x14:dataValidation>
        <x14:dataValidation xr:uid="{B0777C84-3551-4991-B954-C122D8F7AC38}" type="whole" allowBlank="1" error="Điểm phải là số nguyên từ 0 đến 10!" errorStyle="stop" errorTitle="Lỗi nhập điểm" imeMode="noControl" operator="between" showDropDown="0" showErrorMessage="0" showInputMessage="0">
          <x14:formula1>
            <xm:f>0</xm:f>
          </x14:formula1>
          <x14:formula2>
            <xm:f>10</xm:f>
          </x14:formula2>
          <xm:sqref>G15</xm:sqref>
        </x14:dataValidation>
        <x14:dataValidation xr:uid="{E401105F-EF26-44B8-A203-F3364AE18D48}" type="whole" allowBlank="1" error="Điểm phải là số nguyên từ 0 đến 10!" errorStyle="stop" errorTitle="Lỗi nhập điểm" imeMode="noControl" operator="between" showDropDown="0" showErrorMessage="0" showInputMessage="0">
          <x14:formula1>
            <xm:f>0</xm:f>
          </x14:formula1>
          <x14:formula2>
            <xm:f>10</xm:f>
          </x14:formula2>
          <xm:sqref>G16</xm:sqref>
        </x14:dataValidation>
        <x14:dataValidation xr:uid="{56FFD28B-A8CC-4AA6-B0B7-16A02B06B532}" type="whole" allowBlank="1" error="Điểm phải là số nguyên từ 0 đến 10!" errorStyle="stop" errorTitle="Lỗi nhập điểm" imeMode="noControl" operator="between" showDropDown="0" showErrorMessage="0" showInputMessage="0">
          <x14:formula1>
            <xm:f>0</xm:f>
          </x14:formula1>
          <x14:formula2>
            <xm:f>10</xm:f>
          </x14:formula2>
          <xm:sqref>G17</xm:sqref>
        </x14:dataValidation>
        <x14:dataValidation xr:uid="{6BB105C4-3EE0-481F-AAEB-6BA2C97A4ACC}" type="whole" allowBlank="1" error="Điểm phải là số nguyên từ 0 đến 10!" errorStyle="stop" errorTitle="Lỗi nhập điểm" imeMode="noControl" operator="between" showDropDown="0" showErrorMessage="0" showInputMessage="0">
          <x14:formula1>
            <xm:f>0</xm:f>
          </x14:formula1>
          <x14:formula2>
            <xm:f>10</xm:f>
          </x14:formula2>
          <xm:sqref>G18</xm:sqref>
        </x14:dataValidation>
        <x14:dataValidation xr:uid="{D4F9BB73-AD16-47E3-ABAC-755E0FEBA15D}" type="whole" allowBlank="1" error="Điểm phải là số nguyên từ 0 đến 10!" errorStyle="stop" errorTitle="Lỗi nhập điểm" imeMode="noControl" operator="between" showDropDown="0" showErrorMessage="0" showInputMessage="0">
          <x14:formula1>
            <xm:f>0</xm:f>
          </x14:formula1>
          <x14:formula2>
            <xm:f>10</xm:f>
          </x14:formula2>
          <xm:sqref>G6</xm:sqref>
        </x14:dataValidation>
        <x14:dataValidation xr:uid="{E8AA56D4-90A2-4790-9605-59048185742E}" type="whole" allowBlank="1" error="Điểm phải là số nguyên từ 0 đến 10!" errorStyle="stop" errorTitle="Lỗi nhập điểm" imeMode="noControl" operator="between" showDropDown="0" showErrorMessage="0" showInputMessage="0">
          <x14:formula1>
            <xm:f>0</xm:f>
          </x14:formula1>
          <x14:formula2>
            <xm:f>10</xm:f>
          </x14:formula2>
          <xm:sqref>G7</xm:sqref>
        </x14:dataValidation>
        <x14:dataValidation xr:uid="{4747C52F-E09C-46F3-AC83-B919B484D8FC}" type="whole" allowBlank="1" error="Điểm phải là số nguyên từ 0 đến 10!" errorStyle="stop" errorTitle="Lỗi nhập điểm" imeMode="noControl" operator="between" showDropDown="0" showErrorMessage="0" showInputMessage="0">
          <x14:formula1>
            <xm:f>0</xm:f>
          </x14:formula1>
          <x14:formula2>
            <xm:f>10</xm:f>
          </x14:formula2>
          <xm:sqref>G8</xm:sqref>
        </x14:dataValidation>
        <x14:dataValidation xr:uid="{B74F27D2-4936-4F38-BA5B-F9004CB90C0A}" type="whole" allowBlank="1" error="Điểm phải là số nguyên từ 0 đến 10!" errorStyle="stop" errorTitle="Lỗi nhập điểm" imeMode="noControl" operator="between" showDropDown="0" showErrorMessage="0" showInputMessage="0">
          <x14:formula1>
            <xm:f>0</xm:f>
          </x14:formula1>
          <x14:formula2>
            <xm:f>10</xm:f>
          </x14:formula2>
          <xm:sqref>G9</xm:sqref>
        </x14:dataValidation>
        <x14:dataValidation xr:uid="{1930C1AF-ED6D-451D-AD59-72C895660E1D}" type="whole" allowBlank="1" error="Điểm phải là số nguyên từ 0 đến 10!" errorStyle="stop" errorTitle="Lỗi nhập điểm" imeMode="noControl" operator="between" showDropDown="0" showErrorMessage="0" showInputMessage="0">
          <x14:formula1>
            <xm:f>0</xm:f>
          </x14:formula1>
          <x14:formula2>
            <xm:f>10</xm:f>
          </x14:formula2>
          <xm:sqref>G10</xm:sqref>
        </x14:dataValidation>
        <x14:dataValidation xr:uid="{D10B6768-7101-420B-B40F-B804026F9051}" type="whole" allowBlank="1" error="Điểm phải là số nguyên từ 0 đến 10!" errorStyle="stop" errorTitle="Lỗi nhập điểm" imeMode="noControl" operator="between" showDropDown="0" showErrorMessage="0" showInputMessage="0">
          <x14:formula1>
            <xm:f>0</xm:f>
          </x14:formula1>
          <x14:formula2>
            <xm:f>10</xm:f>
          </x14:formula2>
          <xm:sqref>G11</xm:sqref>
        </x14:dataValidation>
        <x14:dataValidation xr:uid="{616FC30D-A5C1-4DA7-94C1-802D8BBF1574}" type="whole" allowBlank="1" error="Điểm phải là số nguyên từ 0 đến 10!" errorStyle="stop" errorTitle="Lỗi nhập điểm" imeMode="noControl" operator="between" showDropDown="0" showErrorMessage="0" showInputMessage="0">
          <x14:formula1>
            <xm:f>0</xm:f>
          </x14:formula1>
          <x14:formula2>
            <xm:f>10</xm:f>
          </x14:formula2>
          <xm:sqref>G12</xm:sqref>
        </x14:dataValidation>
        <x14:dataValidation xr:uid="{E9F22DEB-9832-4780-8F41-BAADB5E10CC7}" type="whole" allowBlank="1" error="Điểm phải là số nguyên từ 0 đến 10!" errorStyle="stop" errorTitle="Lỗi nhập điểm" imeMode="noControl" operator="between" showDropDown="0" showErrorMessage="0" showInputMessage="0">
          <x14:formula1>
            <xm:f>0</xm:f>
          </x14:formula1>
          <x14:formula2>
            <xm:f>10</xm:f>
          </x14:formula2>
          <xm:sqref>G13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17.421875"/>
    <col customWidth="1" min="2" max="2" width="19.7109375"/>
    <col customWidth="1" min="3" max="3" width="40.00390625"/>
    <col customWidth="1" min="4" max="4" width="44.57421875"/>
    <col customWidth="1" min="5" max="5" width="21.421875"/>
    <col customWidth="1" min="6" max="6" width="24.8515625"/>
    <col customWidth="1" min="7" max="7" width="14.8515625"/>
    <col customWidth="1" min="9" max="9" width="27.7109375"/>
  </cols>
  <sheetData>
    <row r="1" ht="16.5">
      <c r="A1" s="36" t="s">
        <v>86</v>
      </c>
    </row>
    <row r="2" ht="15">
      <c r="A2" s="37"/>
    </row>
    <row r="3" ht="30">
      <c r="A3" s="38" t="s">
        <v>87</v>
      </c>
      <c r="B3" s="38" t="s">
        <v>88</v>
      </c>
      <c r="C3" s="38" t="s">
        <v>89</v>
      </c>
      <c r="D3" s="38" t="s">
        <v>90</v>
      </c>
      <c r="E3" s="38" t="s">
        <v>91</v>
      </c>
      <c r="F3" s="38" t="s">
        <v>92</v>
      </c>
      <c r="G3" s="38" t="s">
        <v>93</v>
      </c>
      <c r="H3" s="38" t="s">
        <v>94</v>
      </c>
      <c r="I3" s="38" t="s">
        <v>95</v>
      </c>
    </row>
    <row r="4" ht="135">
      <c r="A4" s="39" t="s">
        <v>96</v>
      </c>
      <c r="B4" s="39" t="s">
        <v>30</v>
      </c>
      <c r="C4" s="40" t="s">
        <v>31</v>
      </c>
      <c r="D4" s="41" t="s">
        <v>33</v>
      </c>
      <c r="E4" s="41" t="s">
        <v>97</v>
      </c>
      <c r="F4" s="41" t="s">
        <v>98</v>
      </c>
      <c r="G4" s="41">
        <v>7</v>
      </c>
      <c r="H4" s="41" t="s">
        <v>99</v>
      </c>
      <c r="I4" s="41" t="s">
        <v>100</v>
      </c>
    </row>
    <row r="5" ht="135">
      <c r="A5" s="38" t="s">
        <v>101</v>
      </c>
      <c r="B5" s="38" t="s">
        <v>73</v>
      </c>
      <c r="C5" s="42" t="s">
        <v>74</v>
      </c>
      <c r="D5" s="43" t="s">
        <v>76</v>
      </c>
      <c r="E5" s="41" t="s">
        <v>75</v>
      </c>
      <c r="F5" s="41" t="s">
        <v>102</v>
      </c>
      <c r="G5" s="41">
        <v>4</v>
      </c>
      <c r="H5" s="41" t="s">
        <v>103</v>
      </c>
      <c r="I5" s="41" t="s">
        <v>104</v>
      </c>
    </row>
    <row r="6" ht="120">
      <c r="A6" s="38" t="s">
        <v>101</v>
      </c>
      <c r="B6" s="38" t="s">
        <v>42</v>
      </c>
      <c r="C6" s="42" t="s">
        <v>43</v>
      </c>
      <c r="D6" s="43" t="s">
        <v>45</v>
      </c>
      <c r="E6" s="41" t="s">
        <v>105</v>
      </c>
      <c r="F6" s="41" t="s">
        <v>106</v>
      </c>
      <c r="G6" s="41">
        <v>5</v>
      </c>
      <c r="H6" s="44" t="s">
        <v>99</v>
      </c>
      <c r="I6" s="41" t="s">
        <v>107</v>
      </c>
    </row>
    <row r="7" ht="105">
      <c r="A7" s="38" t="s">
        <v>101</v>
      </c>
      <c r="B7" s="38" t="s">
        <v>46</v>
      </c>
      <c r="C7" s="42" t="s">
        <v>108</v>
      </c>
      <c r="D7" s="43" t="s">
        <v>49</v>
      </c>
      <c r="E7" s="41" t="s">
        <v>109</v>
      </c>
      <c r="F7" s="41" t="s">
        <v>110</v>
      </c>
      <c r="G7" s="41">
        <v>4</v>
      </c>
      <c r="H7" s="41" t="s">
        <v>103</v>
      </c>
      <c r="I7" s="41" t="s">
        <v>111</v>
      </c>
    </row>
    <row r="8" ht="90">
      <c r="A8" s="38" t="s">
        <v>101</v>
      </c>
      <c r="B8" s="38" t="s">
        <v>50</v>
      </c>
      <c r="C8" s="42" t="s">
        <v>51</v>
      </c>
      <c r="D8" s="43" t="s">
        <v>45</v>
      </c>
      <c r="E8" s="41" t="s">
        <v>112</v>
      </c>
      <c r="F8" s="41" t="s">
        <v>113</v>
      </c>
      <c r="G8" s="41">
        <v>5</v>
      </c>
      <c r="H8" s="44" t="s">
        <v>99</v>
      </c>
      <c r="I8" s="41" t="s">
        <v>114</v>
      </c>
    </row>
    <row r="9" ht="135">
      <c r="A9" s="39" t="s">
        <v>115</v>
      </c>
      <c r="B9" s="45" t="s">
        <v>34</v>
      </c>
      <c r="C9" s="40" t="s">
        <v>35</v>
      </c>
      <c r="D9" s="41" t="s">
        <v>37</v>
      </c>
      <c r="E9" s="41" t="s">
        <v>116</v>
      </c>
      <c r="F9" s="41" t="s">
        <v>117</v>
      </c>
      <c r="G9" s="41">
        <v>2</v>
      </c>
      <c r="H9" s="41" t="s">
        <v>103</v>
      </c>
      <c r="I9" s="41" t="s">
        <v>118</v>
      </c>
    </row>
    <row r="10" ht="105">
      <c r="A10" s="38" t="s">
        <v>119</v>
      </c>
      <c r="B10" s="38" t="s">
        <v>38</v>
      </c>
      <c r="C10" s="42" t="s">
        <v>120</v>
      </c>
      <c r="D10" s="43" t="s">
        <v>41</v>
      </c>
      <c r="E10" s="41" t="s">
        <v>121</v>
      </c>
      <c r="F10" s="41" t="s">
        <v>122</v>
      </c>
      <c r="G10" s="41">
        <v>4</v>
      </c>
      <c r="H10" s="41" t="s">
        <v>103</v>
      </c>
      <c r="I10" s="41" t="s">
        <v>123</v>
      </c>
    </row>
    <row r="11" ht="180">
      <c r="A11" s="38" t="s">
        <v>119</v>
      </c>
      <c r="B11" s="38" t="s">
        <v>53</v>
      </c>
      <c r="C11" s="42" t="s">
        <v>54</v>
      </c>
      <c r="D11" s="43" t="s">
        <v>56</v>
      </c>
      <c r="E11" s="41" t="s">
        <v>55</v>
      </c>
      <c r="F11" s="41" t="s">
        <v>124</v>
      </c>
      <c r="G11" s="41">
        <v>3</v>
      </c>
      <c r="H11" s="41" t="s">
        <v>103</v>
      </c>
      <c r="I11" s="41" t="s">
        <v>125</v>
      </c>
    </row>
    <row r="12" ht="120">
      <c r="A12" s="38" t="s">
        <v>119</v>
      </c>
      <c r="B12" s="38" t="s">
        <v>57</v>
      </c>
      <c r="C12" s="42" t="s">
        <v>58</v>
      </c>
      <c r="D12" s="43" t="s">
        <v>60</v>
      </c>
      <c r="E12" s="41" t="s">
        <v>59</v>
      </c>
      <c r="F12" s="41" t="s">
        <v>126</v>
      </c>
      <c r="G12" s="41">
        <v>3</v>
      </c>
      <c r="H12" s="41" t="s">
        <v>103</v>
      </c>
      <c r="I12" s="41" t="s">
        <v>127</v>
      </c>
    </row>
    <row r="13" ht="105">
      <c r="A13" s="38" t="s">
        <v>119</v>
      </c>
      <c r="B13" s="38" t="s">
        <v>61</v>
      </c>
      <c r="C13" s="42" t="s">
        <v>62</v>
      </c>
      <c r="D13" s="43" t="s">
        <v>64</v>
      </c>
      <c r="E13" s="41" t="s">
        <v>63</v>
      </c>
      <c r="F13" s="41" t="s">
        <v>128</v>
      </c>
      <c r="G13" s="41">
        <v>4</v>
      </c>
      <c r="H13" s="41" t="s">
        <v>103</v>
      </c>
      <c r="I13" s="41" t="s">
        <v>129</v>
      </c>
    </row>
    <row r="14" ht="105">
      <c r="A14" s="39" t="s">
        <v>130</v>
      </c>
      <c r="B14" s="39" t="s">
        <v>65</v>
      </c>
      <c r="C14" s="46" t="s">
        <v>66</v>
      </c>
      <c r="D14" s="47" t="s">
        <v>68</v>
      </c>
      <c r="E14" s="41" t="s">
        <v>67</v>
      </c>
      <c r="F14" s="41" t="s">
        <v>131</v>
      </c>
      <c r="G14" s="41">
        <v>10</v>
      </c>
      <c r="H14" s="41" t="s">
        <v>132</v>
      </c>
      <c r="I14" s="41" t="s">
        <v>133</v>
      </c>
    </row>
    <row r="15" ht="105">
      <c r="A15" s="38" t="s">
        <v>134</v>
      </c>
      <c r="B15" s="38" t="s">
        <v>69</v>
      </c>
      <c r="C15" s="42" t="s">
        <v>70</v>
      </c>
      <c r="D15" s="43" t="s">
        <v>72</v>
      </c>
      <c r="E15" s="41" t="s">
        <v>71</v>
      </c>
      <c r="F15" s="41" t="s">
        <v>135</v>
      </c>
      <c r="G15" s="41">
        <v>10</v>
      </c>
      <c r="H15" s="41" t="s">
        <v>132</v>
      </c>
      <c r="I15" s="41" t="s">
        <v>136</v>
      </c>
    </row>
    <row r="16" ht="135">
      <c r="A16" s="38" t="s">
        <v>134</v>
      </c>
      <c r="B16" s="38" t="s">
        <v>77</v>
      </c>
      <c r="C16" s="42" t="s">
        <v>78</v>
      </c>
      <c r="D16" s="43" t="s">
        <v>80</v>
      </c>
      <c r="E16" s="41" t="s">
        <v>79</v>
      </c>
      <c r="F16" s="41" t="s">
        <v>137</v>
      </c>
      <c r="G16" s="41">
        <v>6</v>
      </c>
      <c r="H16" s="44" t="s">
        <v>99</v>
      </c>
      <c r="I16" s="41" t="s">
        <v>138</v>
      </c>
    </row>
    <row r="17" ht="120">
      <c r="A17" s="38" t="s">
        <v>134</v>
      </c>
      <c r="B17" s="38" t="s">
        <v>81</v>
      </c>
      <c r="C17" s="42" t="s">
        <v>82</v>
      </c>
      <c r="D17" s="43" t="s">
        <v>84</v>
      </c>
      <c r="E17" s="41" t="s">
        <v>83</v>
      </c>
      <c r="F17" s="41" t="s">
        <v>139</v>
      </c>
      <c r="G17" s="41">
        <v>3</v>
      </c>
      <c r="H17" s="41" t="s">
        <v>103</v>
      </c>
      <c r="I17" s="41" t="s">
        <v>140</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1" zoomScale="100" workbookViewId="0">
      <selection activeCell="A1" activeCellId="0" sqref="A1"/>
    </sheetView>
  </sheetViews>
  <sheetFormatPr baseColWidth="8" defaultRowHeight="15"/>
  <cols>
    <col customWidth="1" min="1" max="1" width="24"/>
    <col customWidth="1" min="2" max="2" width="12"/>
    <col customWidth="1" min="3" max="3" width="45"/>
    <col customWidth="1" min="4" max="4" width="65"/>
  </cols>
  <sheetData>
    <row r="1">
      <c r="A1" s="1" t="s">
        <v>141</v>
      </c>
    </row>
    <row r="2">
      <c r="A2" s="2" t="s">
        <v>142</v>
      </c>
    </row>
    <row r="4">
      <c r="A4" s="11" t="s">
        <v>143</v>
      </c>
      <c r="B4" s="11" t="s">
        <v>144</v>
      </c>
      <c r="C4" s="11" t="s">
        <v>145</v>
      </c>
      <c r="D4" s="11" t="s">
        <v>146</v>
      </c>
    </row>
    <row r="5">
      <c r="A5" s="48" t="s">
        <v>13</v>
      </c>
      <c r="B5" s="27" t="s">
        <v>147</v>
      </c>
      <c r="C5" s="49" t="s">
        <v>148</v>
      </c>
      <c r="D5" s="49" t="s">
        <v>149</v>
      </c>
    </row>
    <row r="6">
      <c r="A6" s="50" t="s">
        <v>150</v>
      </c>
      <c r="B6" s="29" t="s">
        <v>147</v>
      </c>
      <c r="C6" s="51" t="s">
        <v>151</v>
      </c>
      <c r="D6" s="51" t="s">
        <v>152</v>
      </c>
    </row>
    <row r="7">
      <c r="A7" s="48" t="s">
        <v>153</v>
      </c>
      <c r="B7" s="27" t="s">
        <v>154</v>
      </c>
      <c r="C7" s="49" t="s">
        <v>155</v>
      </c>
      <c r="D7" s="49" t="s">
        <v>156</v>
      </c>
    </row>
    <row r="8">
      <c r="A8" s="50" t="s">
        <v>16</v>
      </c>
      <c r="B8" s="29" t="s">
        <v>157</v>
      </c>
      <c r="C8" s="51" t="s">
        <v>158</v>
      </c>
      <c r="D8" s="51" t="s">
        <v>159</v>
      </c>
    </row>
    <row r="9">
      <c r="A9" s="48" t="s">
        <v>160</v>
      </c>
      <c r="B9" s="27" t="s">
        <v>157</v>
      </c>
      <c r="C9" s="49" t="s">
        <v>161</v>
      </c>
      <c r="D9" s="49" t="s">
        <v>162</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2026-08-26T01:36:19Z</dcterms:created>
  <dcterms:modified xsi:type="dcterms:W3CDTF">2026-08-26T03:39:43Z</dcterms:modified>
</cp:coreProperties>
</file>